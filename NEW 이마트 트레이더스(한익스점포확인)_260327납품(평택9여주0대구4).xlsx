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jyshin\Desktop\SCM 인수인계\★EDI 발주\3.이마트\"/>
    </mc:Choice>
  </mc:AlternateContent>
  <xr:revisionPtr revIDLastSave="0" documentId="13_ncr:1_{081807E2-2E8E-4A80-A4D2-2169E27E7E7B}" xr6:coauthVersionLast="47" xr6:coauthVersionMax="47" xr10:uidLastSave="{00000000-0000-0000-0000-000000000000}"/>
  <bookViews>
    <workbookView xWindow="-108" yWindow="-108" windowWidth="23256" windowHeight="12576" tabRatio="758" activeTab="1" xr2:uid="{00000000-000D-0000-FFFF-FFFF00000000}"/>
  </bookViews>
  <sheets>
    <sheet name="Raw data" sheetId="68" r:id="rId1"/>
    <sheet name="Summary(수주업로드용)" sheetId="69" r:id="rId2"/>
    <sheet name="Sheet1" sheetId="70" r:id="rId3"/>
    <sheet name="Sheet2" sheetId="71" r:id="rId4"/>
    <sheet name="점포코드 " sheetId="3" r:id="rId5"/>
    <sheet name="제품명" sheetId="2" r:id="rId6"/>
  </sheets>
  <definedNames>
    <definedName name="_xlnm._FilterDatabase" localSheetId="0" hidden="1">'Raw data'!$A$1:$U$24</definedName>
    <definedName name="_xlnm._FilterDatabase" localSheetId="1" hidden="1">'Summary(수주업로드용)'!$A$1:$N$256</definedName>
    <definedName name="_xlnm._FilterDatabase" localSheetId="4" hidden="1">'점포코드 '!$A$2:$C$2</definedName>
    <definedName name="_xlnm._FilterDatabase" localSheetId="5" hidden="1">제품명!$A$1:$G$1</definedName>
  </definedNames>
  <calcPr calcId="191029"/>
  <pivotCaches>
    <pivotCache cacheId="44" r:id="rId7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" i="69" l="1"/>
  <c r="L36" i="69"/>
  <c r="L37" i="69"/>
  <c r="L38" i="69"/>
  <c r="L39" i="69"/>
  <c r="L40" i="69"/>
  <c r="L41" i="69"/>
  <c r="F2" i="69"/>
  <c r="F6" i="69"/>
  <c r="L17" i="69"/>
  <c r="L18" i="69"/>
  <c r="L19" i="69"/>
  <c r="L20" i="69"/>
  <c r="L21" i="69"/>
  <c r="L22" i="69"/>
  <c r="L23" i="69"/>
  <c r="L24" i="69"/>
  <c r="L25" i="69"/>
  <c r="L26" i="69"/>
  <c r="L27" i="69"/>
  <c r="L28" i="69"/>
  <c r="L29" i="69"/>
  <c r="L30" i="69"/>
  <c r="L31" i="69"/>
  <c r="L32" i="69"/>
  <c r="L33" i="69"/>
  <c r="L34" i="69"/>
  <c r="L35" i="69"/>
  <c r="L3" i="69"/>
  <c r="L4" i="69"/>
  <c r="L5" i="69"/>
  <c r="L6" i="69"/>
  <c r="L7" i="69"/>
  <c r="L8" i="69"/>
  <c r="L9" i="69"/>
  <c r="L10" i="69"/>
  <c r="L11" i="69"/>
  <c r="L12" i="69"/>
  <c r="L13" i="69"/>
  <c r="L14" i="69"/>
  <c r="L15" i="69"/>
  <c r="L16" i="69"/>
  <c r="L2" i="69"/>
  <c r="F4" i="69" l="1"/>
  <c r="G4" i="69" s="1"/>
  <c r="A3" i="69"/>
  <c r="D3" i="69"/>
  <c r="E3" i="69" s="1"/>
  <c r="F3" i="69"/>
  <c r="G3" i="69" s="1"/>
  <c r="H3" i="69"/>
  <c r="I3" i="69"/>
  <c r="A4" i="69"/>
  <c r="D4" i="69"/>
  <c r="E4" i="69" s="1"/>
  <c r="H4" i="69"/>
  <c r="I4" i="69"/>
  <c r="A5" i="69"/>
  <c r="D5" i="69"/>
  <c r="E5" i="69" s="1"/>
  <c r="F5" i="69"/>
  <c r="G5" i="69" s="1"/>
  <c r="H5" i="69"/>
  <c r="I5" i="69"/>
  <c r="A6" i="69"/>
  <c r="D6" i="69"/>
  <c r="E6" i="69" s="1"/>
  <c r="G6" i="69"/>
  <c r="H6" i="69"/>
  <c r="I6" i="69"/>
  <c r="A7" i="69"/>
  <c r="D7" i="69"/>
  <c r="E7" i="69" s="1"/>
  <c r="F7" i="69"/>
  <c r="G7" i="69" s="1"/>
  <c r="H7" i="69"/>
  <c r="I7" i="69"/>
  <c r="A8" i="69"/>
  <c r="D8" i="69"/>
  <c r="E8" i="69" s="1"/>
  <c r="F8" i="69"/>
  <c r="G8" i="69" s="1"/>
  <c r="H8" i="69"/>
  <c r="I8" i="69"/>
  <c r="A9" i="69"/>
  <c r="D9" i="69"/>
  <c r="E9" i="69" s="1"/>
  <c r="F9" i="69"/>
  <c r="G9" i="69" s="1"/>
  <c r="H9" i="69"/>
  <c r="I9" i="69"/>
  <c r="A10" i="69"/>
  <c r="D10" i="69"/>
  <c r="E10" i="69" s="1"/>
  <c r="F10" i="69"/>
  <c r="G10" i="69" s="1"/>
  <c r="H10" i="69"/>
  <c r="I10" i="69"/>
  <c r="A11" i="69"/>
  <c r="D11" i="69"/>
  <c r="E11" i="69" s="1"/>
  <c r="F11" i="69"/>
  <c r="G11" i="69" s="1"/>
  <c r="H11" i="69"/>
  <c r="I11" i="69"/>
  <c r="A12" i="69"/>
  <c r="D12" i="69"/>
  <c r="E12" i="69" s="1"/>
  <c r="F12" i="69"/>
  <c r="G12" i="69" s="1"/>
  <c r="H12" i="69"/>
  <c r="I12" i="69"/>
  <c r="A13" i="69"/>
  <c r="D13" i="69"/>
  <c r="E13" i="69" s="1"/>
  <c r="F13" i="69"/>
  <c r="G13" i="69" s="1"/>
  <c r="H13" i="69"/>
  <c r="I13" i="69"/>
  <c r="A14" i="69"/>
  <c r="D14" i="69"/>
  <c r="E14" i="69" s="1"/>
  <c r="F14" i="69"/>
  <c r="G14" i="69" s="1"/>
  <c r="H14" i="69"/>
  <c r="I14" i="69"/>
  <c r="A15" i="69"/>
  <c r="D15" i="69"/>
  <c r="E15" i="69" s="1"/>
  <c r="F15" i="69"/>
  <c r="G15" i="69" s="1"/>
  <c r="H15" i="69"/>
  <c r="I15" i="69"/>
  <c r="A16" i="69"/>
  <c r="D16" i="69"/>
  <c r="E16" i="69" s="1"/>
  <c r="F16" i="69"/>
  <c r="G16" i="69" s="1"/>
  <c r="H16" i="69"/>
  <c r="I16" i="69"/>
  <c r="A17" i="69"/>
  <c r="D17" i="69"/>
  <c r="E17" i="69" s="1"/>
  <c r="F17" i="69"/>
  <c r="G17" i="69" s="1"/>
  <c r="H17" i="69"/>
  <c r="I17" i="69"/>
  <c r="A18" i="69"/>
  <c r="D18" i="69"/>
  <c r="E18" i="69" s="1"/>
  <c r="F18" i="69"/>
  <c r="G18" i="69" s="1"/>
  <c r="H18" i="69"/>
  <c r="I18" i="69"/>
  <c r="A19" i="69"/>
  <c r="D19" i="69"/>
  <c r="E19" i="69" s="1"/>
  <c r="F19" i="69"/>
  <c r="G19" i="69" s="1"/>
  <c r="H19" i="69"/>
  <c r="I19" i="69"/>
  <c r="A20" i="69"/>
  <c r="D20" i="69"/>
  <c r="E20" i="69" s="1"/>
  <c r="F20" i="69"/>
  <c r="G20" i="69" s="1"/>
  <c r="H20" i="69"/>
  <c r="I20" i="69"/>
  <c r="A21" i="69"/>
  <c r="D21" i="69"/>
  <c r="E21" i="69" s="1"/>
  <c r="F21" i="69"/>
  <c r="G21" i="69" s="1"/>
  <c r="H21" i="69"/>
  <c r="I21" i="69"/>
  <c r="A22" i="69"/>
  <c r="D22" i="69"/>
  <c r="E22" i="69" s="1"/>
  <c r="F22" i="69"/>
  <c r="G22" i="69" s="1"/>
  <c r="H22" i="69"/>
  <c r="I22" i="69"/>
  <c r="A23" i="69"/>
  <c r="D23" i="69"/>
  <c r="E23" i="69" s="1"/>
  <c r="F23" i="69"/>
  <c r="G23" i="69" s="1"/>
  <c r="H23" i="69"/>
  <c r="I23" i="69"/>
  <c r="A24" i="69"/>
  <c r="D24" i="69"/>
  <c r="E24" i="69" s="1"/>
  <c r="F24" i="69"/>
  <c r="G24" i="69" s="1"/>
  <c r="H24" i="69"/>
  <c r="I24" i="69"/>
  <c r="A25" i="69"/>
  <c r="D25" i="69"/>
  <c r="E25" i="69" s="1"/>
  <c r="F25" i="69"/>
  <c r="G25" i="69" s="1"/>
  <c r="H25" i="69"/>
  <c r="I25" i="69"/>
  <c r="A26" i="69"/>
  <c r="D26" i="69"/>
  <c r="E26" i="69" s="1"/>
  <c r="F26" i="69"/>
  <c r="G26" i="69" s="1"/>
  <c r="H26" i="69"/>
  <c r="I26" i="69"/>
  <c r="A27" i="69"/>
  <c r="D27" i="69"/>
  <c r="E27" i="69" s="1"/>
  <c r="F27" i="69"/>
  <c r="G27" i="69" s="1"/>
  <c r="H27" i="69"/>
  <c r="I27" i="69"/>
  <c r="A28" i="69"/>
  <c r="D28" i="69"/>
  <c r="E28" i="69" s="1"/>
  <c r="F28" i="69"/>
  <c r="G28" i="69" s="1"/>
  <c r="H28" i="69"/>
  <c r="I28" i="69"/>
  <c r="A29" i="69"/>
  <c r="D29" i="69"/>
  <c r="E29" i="69" s="1"/>
  <c r="F29" i="69"/>
  <c r="G29" i="69" s="1"/>
  <c r="H29" i="69"/>
  <c r="I29" i="69"/>
  <c r="A30" i="69"/>
  <c r="D30" i="69"/>
  <c r="E30" i="69" s="1"/>
  <c r="F30" i="69"/>
  <c r="G30" i="69" s="1"/>
  <c r="H30" i="69"/>
  <c r="I30" i="69"/>
  <c r="A31" i="69"/>
  <c r="D31" i="69"/>
  <c r="E31" i="69" s="1"/>
  <c r="F31" i="69"/>
  <c r="G31" i="69" s="1"/>
  <c r="H31" i="69"/>
  <c r="I31" i="69"/>
  <c r="A32" i="69"/>
  <c r="D32" i="69"/>
  <c r="E32" i="69" s="1"/>
  <c r="F32" i="69"/>
  <c r="G32" i="69" s="1"/>
  <c r="H32" i="69"/>
  <c r="I32" i="69"/>
  <c r="A33" i="69"/>
  <c r="D33" i="69"/>
  <c r="E33" i="69" s="1"/>
  <c r="F33" i="69"/>
  <c r="G33" i="69" s="1"/>
  <c r="H33" i="69"/>
  <c r="I33" i="69"/>
  <c r="A34" i="69"/>
  <c r="D34" i="69"/>
  <c r="E34" i="69" s="1"/>
  <c r="F34" i="69"/>
  <c r="G34" i="69" s="1"/>
  <c r="H34" i="69"/>
  <c r="I34" i="69"/>
  <c r="A35" i="69"/>
  <c r="D35" i="69"/>
  <c r="E35" i="69" s="1"/>
  <c r="F35" i="69"/>
  <c r="G35" i="69" s="1"/>
  <c r="H35" i="69"/>
  <c r="I35" i="69"/>
  <c r="A36" i="69"/>
  <c r="D36" i="69"/>
  <c r="E36" i="69" s="1"/>
  <c r="F36" i="69"/>
  <c r="G36" i="69" s="1"/>
  <c r="H36" i="69"/>
  <c r="I36" i="69"/>
  <c r="A37" i="69"/>
  <c r="D37" i="69"/>
  <c r="E37" i="69" s="1"/>
  <c r="F37" i="69"/>
  <c r="G37" i="69" s="1"/>
  <c r="H37" i="69"/>
  <c r="I37" i="69"/>
  <c r="A38" i="69"/>
  <c r="D38" i="69"/>
  <c r="E38" i="69" s="1"/>
  <c r="F38" i="69"/>
  <c r="G38" i="69" s="1"/>
  <c r="H38" i="69"/>
  <c r="I38" i="69"/>
  <c r="A39" i="69"/>
  <c r="D39" i="69"/>
  <c r="E39" i="69" s="1"/>
  <c r="F39" i="69"/>
  <c r="G39" i="69" s="1"/>
  <c r="H39" i="69"/>
  <c r="I39" i="69"/>
  <c r="A40" i="69"/>
  <c r="D40" i="69"/>
  <c r="E40" i="69" s="1"/>
  <c r="F40" i="69"/>
  <c r="G40" i="69" s="1"/>
  <c r="H40" i="69"/>
  <c r="I40" i="69"/>
  <c r="A41" i="69"/>
  <c r="D41" i="69"/>
  <c r="E41" i="69" s="1"/>
  <c r="F41" i="69"/>
  <c r="G41" i="69" s="1"/>
  <c r="H41" i="69"/>
  <c r="I41" i="69"/>
  <c r="A42" i="69"/>
  <c r="D42" i="69"/>
  <c r="E42" i="69" s="1"/>
  <c r="F42" i="69"/>
  <c r="G42" i="69" s="1"/>
  <c r="H42" i="69"/>
  <c r="I42" i="69"/>
  <c r="A43" i="69"/>
  <c r="D43" i="69"/>
  <c r="E43" i="69" s="1"/>
  <c r="F43" i="69"/>
  <c r="G43" i="69" s="1"/>
  <c r="H43" i="69"/>
  <c r="I43" i="69"/>
  <c r="A44" i="69"/>
  <c r="D44" i="69"/>
  <c r="E44" i="69" s="1"/>
  <c r="F44" i="69"/>
  <c r="G44" i="69" s="1"/>
  <c r="H44" i="69"/>
  <c r="I44" i="69"/>
  <c r="A45" i="69"/>
  <c r="D45" i="69"/>
  <c r="E45" i="69" s="1"/>
  <c r="F45" i="69"/>
  <c r="G45" i="69" s="1"/>
  <c r="H45" i="69"/>
  <c r="I45" i="69"/>
  <c r="A46" i="69"/>
  <c r="D46" i="69"/>
  <c r="E46" i="69" s="1"/>
  <c r="F46" i="69"/>
  <c r="G46" i="69" s="1"/>
  <c r="H46" i="69"/>
  <c r="I46" i="69"/>
  <c r="A47" i="69"/>
  <c r="D47" i="69"/>
  <c r="E47" i="69" s="1"/>
  <c r="F47" i="69"/>
  <c r="G47" i="69" s="1"/>
  <c r="H47" i="69"/>
  <c r="I47" i="69"/>
  <c r="A48" i="69"/>
  <c r="D48" i="69"/>
  <c r="E48" i="69" s="1"/>
  <c r="F48" i="69"/>
  <c r="G48" i="69" s="1"/>
  <c r="H48" i="69"/>
  <c r="I48" i="69"/>
  <c r="A49" i="69"/>
  <c r="D49" i="69"/>
  <c r="E49" i="69" s="1"/>
  <c r="F49" i="69"/>
  <c r="G49" i="69" s="1"/>
  <c r="H49" i="69"/>
  <c r="I49" i="69"/>
  <c r="A50" i="69"/>
  <c r="D50" i="69"/>
  <c r="E50" i="69" s="1"/>
  <c r="F50" i="69"/>
  <c r="G50" i="69" s="1"/>
  <c r="H50" i="69"/>
  <c r="I50" i="69"/>
  <c r="A51" i="69"/>
  <c r="D51" i="69"/>
  <c r="E51" i="69" s="1"/>
  <c r="F51" i="69"/>
  <c r="G51" i="69" s="1"/>
  <c r="H51" i="69"/>
  <c r="I51" i="69"/>
  <c r="A52" i="69"/>
  <c r="D52" i="69"/>
  <c r="E52" i="69" s="1"/>
  <c r="F52" i="69"/>
  <c r="G52" i="69" s="1"/>
  <c r="H52" i="69"/>
  <c r="I52" i="69"/>
  <c r="A53" i="69"/>
  <c r="D53" i="69"/>
  <c r="E53" i="69" s="1"/>
  <c r="F53" i="69"/>
  <c r="G53" i="69" s="1"/>
  <c r="H53" i="69"/>
  <c r="I53" i="69"/>
  <c r="A54" i="69"/>
  <c r="D54" i="69"/>
  <c r="E54" i="69" s="1"/>
  <c r="F54" i="69"/>
  <c r="G54" i="69" s="1"/>
  <c r="H54" i="69"/>
  <c r="I54" i="69"/>
  <c r="A55" i="69"/>
  <c r="D55" i="69"/>
  <c r="E55" i="69" s="1"/>
  <c r="F55" i="69"/>
  <c r="G55" i="69" s="1"/>
  <c r="H55" i="69"/>
  <c r="I55" i="69"/>
  <c r="A56" i="69"/>
  <c r="D56" i="69"/>
  <c r="E56" i="69" s="1"/>
  <c r="F56" i="69"/>
  <c r="G56" i="69" s="1"/>
  <c r="H56" i="69"/>
  <c r="I56" i="69"/>
  <c r="A57" i="69"/>
  <c r="D57" i="69"/>
  <c r="E57" i="69" s="1"/>
  <c r="F57" i="69"/>
  <c r="G57" i="69" s="1"/>
  <c r="H57" i="69"/>
  <c r="I57" i="69"/>
  <c r="A58" i="69"/>
  <c r="D58" i="69"/>
  <c r="E58" i="69" s="1"/>
  <c r="F58" i="69"/>
  <c r="G58" i="69" s="1"/>
  <c r="H58" i="69"/>
  <c r="I58" i="69"/>
  <c r="A59" i="69"/>
  <c r="D59" i="69"/>
  <c r="E59" i="69" s="1"/>
  <c r="F59" i="69"/>
  <c r="G59" i="69" s="1"/>
  <c r="H59" i="69"/>
  <c r="I59" i="69"/>
  <c r="A60" i="69"/>
  <c r="D60" i="69"/>
  <c r="E60" i="69" s="1"/>
  <c r="F60" i="69"/>
  <c r="G60" i="69" s="1"/>
  <c r="H60" i="69"/>
  <c r="I60" i="69"/>
  <c r="A61" i="69"/>
  <c r="D61" i="69"/>
  <c r="E61" i="69" s="1"/>
  <c r="F61" i="69"/>
  <c r="G61" i="69" s="1"/>
  <c r="H61" i="69"/>
  <c r="I61" i="69"/>
  <c r="A62" i="69"/>
  <c r="D62" i="69"/>
  <c r="E62" i="69" s="1"/>
  <c r="F62" i="69"/>
  <c r="G62" i="69" s="1"/>
  <c r="H62" i="69"/>
  <c r="I62" i="69"/>
  <c r="A63" i="69"/>
  <c r="D63" i="69"/>
  <c r="E63" i="69" s="1"/>
  <c r="F63" i="69"/>
  <c r="G63" i="69" s="1"/>
  <c r="H63" i="69"/>
  <c r="I63" i="69"/>
  <c r="A64" i="69"/>
  <c r="D64" i="69"/>
  <c r="E64" i="69" s="1"/>
  <c r="F64" i="69"/>
  <c r="G64" i="69" s="1"/>
  <c r="H64" i="69"/>
  <c r="I64" i="69"/>
  <c r="A65" i="69"/>
  <c r="D65" i="69"/>
  <c r="E65" i="69" s="1"/>
  <c r="F65" i="69"/>
  <c r="G65" i="69" s="1"/>
  <c r="H65" i="69"/>
  <c r="I65" i="69"/>
  <c r="A66" i="69"/>
  <c r="D66" i="69"/>
  <c r="E66" i="69" s="1"/>
  <c r="F66" i="69"/>
  <c r="G66" i="69" s="1"/>
  <c r="H66" i="69"/>
  <c r="I66" i="69"/>
  <c r="A67" i="69"/>
  <c r="D67" i="69"/>
  <c r="E67" i="69" s="1"/>
  <c r="F67" i="69"/>
  <c r="G67" i="69" s="1"/>
  <c r="H67" i="69"/>
  <c r="I67" i="69"/>
  <c r="A68" i="69"/>
  <c r="D68" i="69"/>
  <c r="E68" i="69" s="1"/>
  <c r="F68" i="69"/>
  <c r="G68" i="69" s="1"/>
  <c r="H68" i="69"/>
  <c r="I68" i="69"/>
  <c r="A69" i="69"/>
  <c r="D69" i="69"/>
  <c r="E69" i="69" s="1"/>
  <c r="F69" i="69"/>
  <c r="G69" i="69" s="1"/>
  <c r="H69" i="69"/>
  <c r="I69" i="69"/>
  <c r="A70" i="69"/>
  <c r="D70" i="69"/>
  <c r="E70" i="69" s="1"/>
  <c r="F70" i="69"/>
  <c r="G70" i="69" s="1"/>
  <c r="H70" i="69"/>
  <c r="I70" i="69"/>
  <c r="A71" i="69"/>
  <c r="D71" i="69"/>
  <c r="E71" i="69" s="1"/>
  <c r="F71" i="69"/>
  <c r="G71" i="69" s="1"/>
  <c r="H71" i="69"/>
  <c r="I71" i="69"/>
  <c r="A72" i="69"/>
  <c r="D72" i="69"/>
  <c r="E72" i="69" s="1"/>
  <c r="F72" i="69"/>
  <c r="G72" i="69" s="1"/>
  <c r="H72" i="69"/>
  <c r="I72" i="69"/>
  <c r="A73" i="69"/>
  <c r="D73" i="69"/>
  <c r="E73" i="69" s="1"/>
  <c r="F73" i="69"/>
  <c r="G73" i="69" s="1"/>
  <c r="H73" i="69"/>
  <c r="I73" i="69"/>
  <c r="A74" i="69"/>
  <c r="D74" i="69"/>
  <c r="E74" i="69" s="1"/>
  <c r="F74" i="69"/>
  <c r="G74" i="69" s="1"/>
  <c r="H74" i="69"/>
  <c r="I74" i="69"/>
  <c r="A75" i="69"/>
  <c r="D75" i="69"/>
  <c r="E75" i="69" s="1"/>
  <c r="F75" i="69"/>
  <c r="G75" i="69" s="1"/>
  <c r="H75" i="69"/>
  <c r="I75" i="69"/>
  <c r="A76" i="69"/>
  <c r="D76" i="69"/>
  <c r="E76" i="69" s="1"/>
  <c r="F76" i="69"/>
  <c r="G76" i="69" s="1"/>
  <c r="H76" i="69"/>
  <c r="I76" i="69"/>
  <c r="A77" i="69"/>
  <c r="D77" i="69"/>
  <c r="E77" i="69" s="1"/>
  <c r="F77" i="69"/>
  <c r="G77" i="69" s="1"/>
  <c r="H77" i="69"/>
  <c r="I77" i="69"/>
  <c r="A78" i="69"/>
  <c r="D78" i="69"/>
  <c r="E78" i="69" s="1"/>
  <c r="F78" i="69"/>
  <c r="G78" i="69" s="1"/>
  <c r="H78" i="69"/>
  <c r="I78" i="69"/>
  <c r="A79" i="69"/>
  <c r="D79" i="69"/>
  <c r="E79" i="69" s="1"/>
  <c r="F79" i="69"/>
  <c r="G79" i="69" s="1"/>
  <c r="H79" i="69"/>
  <c r="I79" i="69"/>
  <c r="A80" i="69"/>
  <c r="D80" i="69"/>
  <c r="E80" i="69" s="1"/>
  <c r="F80" i="69"/>
  <c r="G80" i="69" s="1"/>
  <c r="H80" i="69"/>
  <c r="I80" i="69"/>
  <c r="A81" i="69"/>
  <c r="D81" i="69"/>
  <c r="E81" i="69" s="1"/>
  <c r="F81" i="69"/>
  <c r="G81" i="69" s="1"/>
  <c r="H81" i="69"/>
  <c r="I81" i="69"/>
  <c r="A82" i="69"/>
  <c r="D82" i="69"/>
  <c r="E82" i="69" s="1"/>
  <c r="F82" i="69"/>
  <c r="G82" i="69" s="1"/>
  <c r="H82" i="69"/>
  <c r="I82" i="69"/>
  <c r="A83" i="69"/>
  <c r="D83" i="69"/>
  <c r="E83" i="69" s="1"/>
  <c r="F83" i="69"/>
  <c r="G83" i="69" s="1"/>
  <c r="H83" i="69"/>
  <c r="I83" i="69"/>
  <c r="A84" i="69"/>
  <c r="D84" i="69"/>
  <c r="E84" i="69" s="1"/>
  <c r="F84" i="69"/>
  <c r="G84" i="69" s="1"/>
  <c r="H84" i="69"/>
  <c r="I84" i="69"/>
  <c r="A85" i="69"/>
  <c r="D85" i="69"/>
  <c r="E85" i="69" s="1"/>
  <c r="F85" i="69"/>
  <c r="G85" i="69" s="1"/>
  <c r="H85" i="69"/>
  <c r="I85" i="69"/>
  <c r="A86" i="69"/>
  <c r="D86" i="69"/>
  <c r="E86" i="69" s="1"/>
  <c r="F86" i="69"/>
  <c r="G86" i="69" s="1"/>
  <c r="H86" i="69"/>
  <c r="I86" i="69"/>
  <c r="A87" i="69"/>
  <c r="D87" i="69"/>
  <c r="E87" i="69" s="1"/>
  <c r="F87" i="69"/>
  <c r="G87" i="69" s="1"/>
  <c r="H87" i="69"/>
  <c r="I87" i="69"/>
  <c r="A88" i="69"/>
  <c r="D88" i="69"/>
  <c r="E88" i="69" s="1"/>
  <c r="F88" i="69"/>
  <c r="G88" i="69" s="1"/>
  <c r="H88" i="69"/>
  <c r="I88" i="69"/>
  <c r="A89" i="69"/>
  <c r="D89" i="69"/>
  <c r="E89" i="69" s="1"/>
  <c r="F89" i="69"/>
  <c r="G89" i="69" s="1"/>
  <c r="H89" i="69"/>
  <c r="I89" i="69"/>
  <c r="A90" i="69"/>
  <c r="D90" i="69"/>
  <c r="E90" i="69" s="1"/>
  <c r="F90" i="69"/>
  <c r="G90" i="69" s="1"/>
  <c r="H90" i="69"/>
  <c r="I90" i="69"/>
  <c r="A91" i="69"/>
  <c r="D91" i="69"/>
  <c r="E91" i="69" s="1"/>
  <c r="F91" i="69"/>
  <c r="G91" i="69" s="1"/>
  <c r="H91" i="69"/>
  <c r="I91" i="69"/>
  <c r="A92" i="69"/>
  <c r="D92" i="69"/>
  <c r="E92" i="69" s="1"/>
  <c r="F92" i="69"/>
  <c r="G92" i="69" s="1"/>
  <c r="H92" i="69"/>
  <c r="I92" i="69"/>
  <c r="A93" i="69"/>
  <c r="D93" i="69"/>
  <c r="E93" i="69" s="1"/>
  <c r="F93" i="69"/>
  <c r="G93" i="69" s="1"/>
  <c r="H93" i="69"/>
  <c r="I93" i="69"/>
  <c r="A94" i="69"/>
  <c r="D94" i="69"/>
  <c r="E94" i="69" s="1"/>
  <c r="F94" i="69"/>
  <c r="G94" i="69" s="1"/>
  <c r="H94" i="69"/>
  <c r="I94" i="69"/>
  <c r="A95" i="69"/>
  <c r="D95" i="69"/>
  <c r="E95" i="69" s="1"/>
  <c r="F95" i="69"/>
  <c r="G95" i="69" s="1"/>
  <c r="H95" i="69"/>
  <c r="I95" i="69"/>
  <c r="A96" i="69"/>
  <c r="D96" i="69"/>
  <c r="E96" i="69" s="1"/>
  <c r="F96" i="69"/>
  <c r="G96" i="69" s="1"/>
  <c r="H96" i="69"/>
  <c r="I96" i="69"/>
  <c r="A97" i="69"/>
  <c r="D97" i="69"/>
  <c r="E97" i="69" s="1"/>
  <c r="F97" i="69"/>
  <c r="G97" i="69" s="1"/>
  <c r="H97" i="69"/>
  <c r="I97" i="69"/>
  <c r="A98" i="69"/>
  <c r="D98" i="69"/>
  <c r="E98" i="69" s="1"/>
  <c r="F98" i="69"/>
  <c r="G98" i="69" s="1"/>
  <c r="H98" i="69"/>
  <c r="I98" i="69"/>
  <c r="A99" i="69"/>
  <c r="D99" i="69"/>
  <c r="E99" i="69" s="1"/>
  <c r="F99" i="69"/>
  <c r="G99" i="69" s="1"/>
  <c r="H99" i="69"/>
  <c r="I99" i="69"/>
  <c r="A100" i="69"/>
  <c r="D100" i="69"/>
  <c r="E100" i="69" s="1"/>
  <c r="F100" i="69"/>
  <c r="G100" i="69" s="1"/>
  <c r="H100" i="69"/>
  <c r="I100" i="69"/>
  <c r="A101" i="69"/>
  <c r="D101" i="69"/>
  <c r="E101" i="69" s="1"/>
  <c r="F101" i="69"/>
  <c r="G101" i="69" s="1"/>
  <c r="H101" i="69"/>
  <c r="I101" i="69"/>
  <c r="A102" i="69"/>
  <c r="D102" i="69"/>
  <c r="E102" i="69" s="1"/>
  <c r="F102" i="69"/>
  <c r="G102" i="69" s="1"/>
  <c r="H102" i="69"/>
  <c r="I102" i="69"/>
  <c r="A103" i="69"/>
  <c r="D103" i="69"/>
  <c r="E103" i="69" s="1"/>
  <c r="F103" i="69"/>
  <c r="G103" i="69" s="1"/>
  <c r="H103" i="69"/>
  <c r="I103" i="69"/>
  <c r="A104" i="69"/>
  <c r="D104" i="69"/>
  <c r="E104" i="69" s="1"/>
  <c r="F104" i="69"/>
  <c r="G104" i="69" s="1"/>
  <c r="H104" i="69"/>
  <c r="I104" i="69"/>
  <c r="A105" i="69"/>
  <c r="D105" i="69"/>
  <c r="E105" i="69" s="1"/>
  <c r="F105" i="69"/>
  <c r="G105" i="69" s="1"/>
  <c r="H105" i="69"/>
  <c r="I105" i="69"/>
  <c r="A106" i="69"/>
  <c r="D106" i="69"/>
  <c r="E106" i="69" s="1"/>
  <c r="F106" i="69"/>
  <c r="G106" i="69" s="1"/>
  <c r="H106" i="69"/>
  <c r="I106" i="69"/>
  <c r="A107" i="69"/>
  <c r="D107" i="69"/>
  <c r="E107" i="69" s="1"/>
  <c r="F107" i="69"/>
  <c r="G107" i="69" s="1"/>
  <c r="H107" i="69"/>
  <c r="I107" i="69"/>
  <c r="A108" i="69"/>
  <c r="D108" i="69"/>
  <c r="E108" i="69" s="1"/>
  <c r="F108" i="69"/>
  <c r="G108" i="69" s="1"/>
  <c r="H108" i="69"/>
  <c r="I108" i="69"/>
  <c r="A109" i="69"/>
  <c r="D109" i="69"/>
  <c r="E109" i="69" s="1"/>
  <c r="F109" i="69"/>
  <c r="G109" i="69" s="1"/>
  <c r="H109" i="69"/>
  <c r="I109" i="69"/>
  <c r="A110" i="69"/>
  <c r="D110" i="69"/>
  <c r="E110" i="69" s="1"/>
  <c r="F110" i="69"/>
  <c r="G110" i="69" s="1"/>
  <c r="H110" i="69"/>
  <c r="I110" i="69"/>
  <c r="A111" i="69"/>
  <c r="D111" i="69"/>
  <c r="E111" i="69" s="1"/>
  <c r="F111" i="69"/>
  <c r="G111" i="69" s="1"/>
  <c r="H111" i="69"/>
  <c r="I111" i="69"/>
  <c r="A112" i="69"/>
  <c r="D112" i="69"/>
  <c r="E112" i="69" s="1"/>
  <c r="F112" i="69"/>
  <c r="G112" i="69" s="1"/>
  <c r="H112" i="69"/>
  <c r="I112" i="69"/>
  <c r="A113" i="69"/>
  <c r="D113" i="69"/>
  <c r="E113" i="69" s="1"/>
  <c r="F113" i="69"/>
  <c r="G113" i="69" s="1"/>
  <c r="H113" i="69"/>
  <c r="I113" i="69"/>
  <c r="A114" i="69"/>
  <c r="D114" i="69"/>
  <c r="E114" i="69" s="1"/>
  <c r="F114" i="69"/>
  <c r="G114" i="69" s="1"/>
  <c r="H114" i="69"/>
  <c r="I114" i="69"/>
  <c r="A115" i="69"/>
  <c r="D115" i="69"/>
  <c r="E115" i="69" s="1"/>
  <c r="F115" i="69"/>
  <c r="G115" i="69" s="1"/>
  <c r="H115" i="69"/>
  <c r="I115" i="69"/>
  <c r="A116" i="69"/>
  <c r="D116" i="69"/>
  <c r="E116" i="69" s="1"/>
  <c r="F116" i="69"/>
  <c r="G116" i="69" s="1"/>
  <c r="H116" i="69"/>
  <c r="I116" i="69"/>
  <c r="A117" i="69"/>
  <c r="D117" i="69"/>
  <c r="E117" i="69" s="1"/>
  <c r="F117" i="69"/>
  <c r="G117" i="69" s="1"/>
  <c r="H117" i="69"/>
  <c r="I117" i="69"/>
  <c r="A118" i="69"/>
  <c r="D118" i="69"/>
  <c r="E118" i="69" s="1"/>
  <c r="F118" i="69"/>
  <c r="G118" i="69" s="1"/>
  <c r="H118" i="69"/>
  <c r="I118" i="69"/>
  <c r="A119" i="69"/>
  <c r="D119" i="69"/>
  <c r="E119" i="69" s="1"/>
  <c r="F119" i="69"/>
  <c r="G119" i="69" s="1"/>
  <c r="H119" i="69"/>
  <c r="I119" i="69"/>
  <c r="A120" i="69"/>
  <c r="D120" i="69"/>
  <c r="E120" i="69" s="1"/>
  <c r="F120" i="69"/>
  <c r="G120" i="69" s="1"/>
  <c r="H120" i="69"/>
  <c r="I120" i="69"/>
  <c r="A121" i="69"/>
  <c r="D121" i="69"/>
  <c r="E121" i="69" s="1"/>
  <c r="F121" i="69"/>
  <c r="G121" i="69" s="1"/>
  <c r="H121" i="69"/>
  <c r="I121" i="69"/>
  <c r="A122" i="69"/>
  <c r="D122" i="69"/>
  <c r="E122" i="69" s="1"/>
  <c r="F122" i="69"/>
  <c r="G122" i="69" s="1"/>
  <c r="H122" i="69"/>
  <c r="I122" i="69"/>
  <c r="A123" i="69"/>
  <c r="D123" i="69"/>
  <c r="E123" i="69" s="1"/>
  <c r="F123" i="69"/>
  <c r="G123" i="69" s="1"/>
  <c r="H123" i="69"/>
  <c r="I123" i="69"/>
  <c r="A124" i="69"/>
  <c r="D124" i="69"/>
  <c r="E124" i="69" s="1"/>
  <c r="F124" i="69"/>
  <c r="G124" i="69" s="1"/>
  <c r="H124" i="69"/>
  <c r="I124" i="69"/>
  <c r="A125" i="69"/>
  <c r="D125" i="69"/>
  <c r="E125" i="69" s="1"/>
  <c r="F125" i="69"/>
  <c r="G125" i="69" s="1"/>
  <c r="H125" i="69"/>
  <c r="I125" i="69"/>
  <c r="A126" i="69"/>
  <c r="D126" i="69"/>
  <c r="E126" i="69" s="1"/>
  <c r="F126" i="69"/>
  <c r="G126" i="69" s="1"/>
  <c r="H126" i="69"/>
  <c r="I126" i="69"/>
  <c r="A127" i="69"/>
  <c r="D127" i="69"/>
  <c r="E127" i="69" s="1"/>
  <c r="F127" i="69"/>
  <c r="G127" i="69" s="1"/>
  <c r="H127" i="69"/>
  <c r="I127" i="69"/>
  <c r="A128" i="69"/>
  <c r="D128" i="69"/>
  <c r="E128" i="69" s="1"/>
  <c r="F128" i="69"/>
  <c r="G128" i="69" s="1"/>
  <c r="H128" i="69"/>
  <c r="I128" i="69"/>
  <c r="A129" i="69"/>
  <c r="D129" i="69"/>
  <c r="E129" i="69" s="1"/>
  <c r="F129" i="69"/>
  <c r="G129" i="69" s="1"/>
  <c r="H129" i="69"/>
  <c r="I129" i="69"/>
  <c r="A130" i="69"/>
  <c r="D130" i="69"/>
  <c r="E130" i="69" s="1"/>
  <c r="F130" i="69"/>
  <c r="G130" i="69" s="1"/>
  <c r="H130" i="69"/>
  <c r="I130" i="69"/>
  <c r="A131" i="69"/>
  <c r="D131" i="69"/>
  <c r="E131" i="69" s="1"/>
  <c r="F131" i="69"/>
  <c r="G131" i="69" s="1"/>
  <c r="H131" i="69"/>
  <c r="I131" i="69"/>
  <c r="A132" i="69"/>
  <c r="D132" i="69"/>
  <c r="E132" i="69" s="1"/>
  <c r="F132" i="69"/>
  <c r="G132" i="69" s="1"/>
  <c r="H132" i="69"/>
  <c r="I132" i="69"/>
  <c r="A133" i="69"/>
  <c r="D133" i="69"/>
  <c r="E133" i="69" s="1"/>
  <c r="F133" i="69"/>
  <c r="G133" i="69" s="1"/>
  <c r="H133" i="69"/>
  <c r="I133" i="69"/>
  <c r="A134" i="69"/>
  <c r="D134" i="69"/>
  <c r="E134" i="69" s="1"/>
  <c r="F134" i="69"/>
  <c r="G134" i="69" s="1"/>
  <c r="H134" i="69"/>
  <c r="I134" i="69"/>
  <c r="A135" i="69"/>
  <c r="D135" i="69"/>
  <c r="E135" i="69" s="1"/>
  <c r="F135" i="69"/>
  <c r="G135" i="69" s="1"/>
  <c r="H135" i="69"/>
  <c r="I135" i="69"/>
  <c r="A136" i="69"/>
  <c r="D136" i="69"/>
  <c r="E136" i="69" s="1"/>
  <c r="F136" i="69"/>
  <c r="G136" i="69" s="1"/>
  <c r="H136" i="69"/>
  <c r="I136" i="69"/>
  <c r="A137" i="69"/>
  <c r="D137" i="69"/>
  <c r="E137" i="69" s="1"/>
  <c r="F137" i="69"/>
  <c r="G137" i="69" s="1"/>
  <c r="H137" i="69"/>
  <c r="I137" i="69"/>
  <c r="A138" i="69"/>
  <c r="D138" i="69"/>
  <c r="E138" i="69" s="1"/>
  <c r="F138" i="69"/>
  <c r="G138" i="69" s="1"/>
  <c r="H138" i="69"/>
  <c r="I138" i="69"/>
  <c r="A139" i="69"/>
  <c r="D139" i="69"/>
  <c r="E139" i="69" s="1"/>
  <c r="F139" i="69"/>
  <c r="G139" i="69" s="1"/>
  <c r="H139" i="69"/>
  <c r="I139" i="69"/>
  <c r="A140" i="69"/>
  <c r="D140" i="69"/>
  <c r="E140" i="69" s="1"/>
  <c r="F140" i="69"/>
  <c r="G140" i="69" s="1"/>
  <c r="H140" i="69"/>
  <c r="I140" i="69"/>
  <c r="A141" i="69"/>
  <c r="D141" i="69"/>
  <c r="E141" i="69" s="1"/>
  <c r="F141" i="69"/>
  <c r="G141" i="69" s="1"/>
  <c r="H141" i="69"/>
  <c r="I141" i="69"/>
  <c r="A142" i="69"/>
  <c r="D142" i="69"/>
  <c r="E142" i="69" s="1"/>
  <c r="F142" i="69"/>
  <c r="G142" i="69" s="1"/>
  <c r="H142" i="69"/>
  <c r="I142" i="69"/>
  <c r="A143" i="69"/>
  <c r="D143" i="69"/>
  <c r="E143" i="69" s="1"/>
  <c r="F143" i="69"/>
  <c r="G143" i="69" s="1"/>
  <c r="H143" i="69"/>
  <c r="I143" i="69"/>
  <c r="A144" i="69"/>
  <c r="D144" i="69"/>
  <c r="E144" i="69" s="1"/>
  <c r="F144" i="69"/>
  <c r="G144" i="69" s="1"/>
  <c r="H144" i="69"/>
  <c r="I144" i="69"/>
  <c r="A145" i="69"/>
  <c r="D145" i="69"/>
  <c r="E145" i="69" s="1"/>
  <c r="F145" i="69"/>
  <c r="G145" i="69" s="1"/>
  <c r="H145" i="69"/>
  <c r="I145" i="69"/>
  <c r="A146" i="69"/>
  <c r="D146" i="69"/>
  <c r="E146" i="69" s="1"/>
  <c r="F146" i="69"/>
  <c r="G146" i="69" s="1"/>
  <c r="H146" i="69"/>
  <c r="I146" i="69"/>
  <c r="A147" i="69"/>
  <c r="D147" i="69"/>
  <c r="E147" i="69" s="1"/>
  <c r="F147" i="69"/>
  <c r="G147" i="69" s="1"/>
  <c r="H147" i="69"/>
  <c r="I147" i="69"/>
  <c r="A148" i="69"/>
  <c r="D148" i="69"/>
  <c r="E148" i="69" s="1"/>
  <c r="F148" i="69"/>
  <c r="G148" i="69" s="1"/>
  <c r="H148" i="69"/>
  <c r="I148" i="69"/>
  <c r="A149" i="69"/>
  <c r="D149" i="69"/>
  <c r="E149" i="69" s="1"/>
  <c r="F149" i="69"/>
  <c r="G149" i="69" s="1"/>
  <c r="H149" i="69"/>
  <c r="I149" i="69"/>
  <c r="A150" i="69"/>
  <c r="D150" i="69"/>
  <c r="E150" i="69" s="1"/>
  <c r="F150" i="69"/>
  <c r="G150" i="69" s="1"/>
  <c r="H150" i="69"/>
  <c r="I150" i="69"/>
  <c r="A151" i="69"/>
  <c r="D151" i="69"/>
  <c r="E151" i="69" s="1"/>
  <c r="F151" i="69"/>
  <c r="G151" i="69" s="1"/>
  <c r="H151" i="69"/>
  <c r="I151" i="69"/>
  <c r="A152" i="69"/>
  <c r="D152" i="69"/>
  <c r="E152" i="69" s="1"/>
  <c r="F152" i="69"/>
  <c r="G152" i="69" s="1"/>
  <c r="H152" i="69"/>
  <c r="I152" i="69"/>
  <c r="A153" i="69"/>
  <c r="D153" i="69"/>
  <c r="E153" i="69" s="1"/>
  <c r="F153" i="69"/>
  <c r="G153" i="69" s="1"/>
  <c r="H153" i="69"/>
  <c r="I153" i="69"/>
  <c r="A154" i="69"/>
  <c r="D154" i="69"/>
  <c r="E154" i="69" s="1"/>
  <c r="F154" i="69"/>
  <c r="G154" i="69" s="1"/>
  <c r="H154" i="69"/>
  <c r="I154" i="69"/>
  <c r="A155" i="69"/>
  <c r="D155" i="69"/>
  <c r="E155" i="69" s="1"/>
  <c r="F155" i="69"/>
  <c r="G155" i="69" s="1"/>
  <c r="H155" i="69"/>
  <c r="I155" i="69"/>
  <c r="A156" i="69"/>
  <c r="D156" i="69"/>
  <c r="E156" i="69" s="1"/>
  <c r="F156" i="69"/>
  <c r="G156" i="69" s="1"/>
  <c r="H156" i="69"/>
  <c r="I156" i="69"/>
  <c r="A157" i="69"/>
  <c r="D157" i="69"/>
  <c r="E157" i="69" s="1"/>
  <c r="F157" i="69"/>
  <c r="G157" i="69" s="1"/>
  <c r="H157" i="69"/>
  <c r="I157" i="69"/>
  <c r="A158" i="69"/>
  <c r="D158" i="69"/>
  <c r="E158" i="69" s="1"/>
  <c r="F158" i="69"/>
  <c r="G158" i="69" s="1"/>
  <c r="H158" i="69"/>
  <c r="I158" i="69"/>
  <c r="A159" i="69"/>
  <c r="D159" i="69"/>
  <c r="E159" i="69" s="1"/>
  <c r="F159" i="69"/>
  <c r="G159" i="69" s="1"/>
  <c r="H159" i="69"/>
  <c r="I159" i="69"/>
  <c r="A160" i="69"/>
  <c r="D160" i="69"/>
  <c r="E160" i="69" s="1"/>
  <c r="F160" i="69"/>
  <c r="G160" i="69" s="1"/>
  <c r="H160" i="69"/>
  <c r="I160" i="69"/>
  <c r="A161" i="69"/>
  <c r="D161" i="69"/>
  <c r="E161" i="69" s="1"/>
  <c r="F161" i="69"/>
  <c r="G161" i="69" s="1"/>
  <c r="H161" i="69"/>
  <c r="I161" i="69"/>
  <c r="A162" i="69"/>
  <c r="D162" i="69"/>
  <c r="E162" i="69" s="1"/>
  <c r="F162" i="69"/>
  <c r="G162" i="69" s="1"/>
  <c r="H162" i="69"/>
  <c r="I162" i="69"/>
  <c r="A163" i="69"/>
  <c r="D163" i="69"/>
  <c r="E163" i="69" s="1"/>
  <c r="F163" i="69"/>
  <c r="G163" i="69" s="1"/>
  <c r="H163" i="69"/>
  <c r="I163" i="69"/>
  <c r="A164" i="69"/>
  <c r="D164" i="69"/>
  <c r="E164" i="69" s="1"/>
  <c r="F164" i="69"/>
  <c r="G164" i="69" s="1"/>
  <c r="H164" i="69"/>
  <c r="I164" i="69"/>
  <c r="A165" i="69"/>
  <c r="D165" i="69"/>
  <c r="E165" i="69" s="1"/>
  <c r="F165" i="69"/>
  <c r="G165" i="69" s="1"/>
  <c r="H165" i="69"/>
  <c r="I165" i="69"/>
  <c r="A166" i="69"/>
  <c r="D166" i="69"/>
  <c r="E166" i="69" s="1"/>
  <c r="F166" i="69"/>
  <c r="G166" i="69" s="1"/>
  <c r="H166" i="69"/>
  <c r="I166" i="69"/>
  <c r="A167" i="69"/>
  <c r="D167" i="69"/>
  <c r="E167" i="69" s="1"/>
  <c r="F167" i="69"/>
  <c r="G167" i="69" s="1"/>
  <c r="H167" i="69"/>
  <c r="I167" i="69"/>
  <c r="A168" i="69"/>
  <c r="D168" i="69"/>
  <c r="E168" i="69" s="1"/>
  <c r="F168" i="69"/>
  <c r="G168" i="69" s="1"/>
  <c r="H168" i="69"/>
  <c r="I168" i="69"/>
  <c r="A169" i="69"/>
  <c r="D169" i="69"/>
  <c r="E169" i="69" s="1"/>
  <c r="F169" i="69"/>
  <c r="G169" i="69" s="1"/>
  <c r="H169" i="69"/>
  <c r="I169" i="69"/>
  <c r="A170" i="69"/>
  <c r="D170" i="69"/>
  <c r="E170" i="69" s="1"/>
  <c r="F170" i="69"/>
  <c r="G170" i="69" s="1"/>
  <c r="H170" i="69"/>
  <c r="I170" i="69"/>
  <c r="A171" i="69"/>
  <c r="D171" i="69"/>
  <c r="E171" i="69" s="1"/>
  <c r="F171" i="69"/>
  <c r="G171" i="69" s="1"/>
  <c r="H171" i="69"/>
  <c r="I171" i="69"/>
  <c r="A172" i="69"/>
  <c r="D172" i="69"/>
  <c r="E172" i="69" s="1"/>
  <c r="F172" i="69"/>
  <c r="G172" i="69" s="1"/>
  <c r="H172" i="69"/>
  <c r="I172" i="69"/>
  <c r="A173" i="69"/>
  <c r="D173" i="69"/>
  <c r="E173" i="69" s="1"/>
  <c r="F173" i="69"/>
  <c r="G173" i="69" s="1"/>
  <c r="H173" i="69"/>
  <c r="I173" i="69"/>
  <c r="A174" i="69"/>
  <c r="D174" i="69"/>
  <c r="E174" i="69" s="1"/>
  <c r="F174" i="69"/>
  <c r="G174" i="69" s="1"/>
  <c r="H174" i="69"/>
  <c r="I174" i="69"/>
  <c r="A175" i="69"/>
  <c r="D175" i="69"/>
  <c r="E175" i="69" s="1"/>
  <c r="F175" i="69"/>
  <c r="G175" i="69" s="1"/>
  <c r="H175" i="69"/>
  <c r="I175" i="69"/>
  <c r="A176" i="69"/>
  <c r="D176" i="69"/>
  <c r="E176" i="69" s="1"/>
  <c r="F176" i="69"/>
  <c r="G176" i="69" s="1"/>
  <c r="H176" i="69"/>
  <c r="I176" i="69"/>
  <c r="A177" i="69"/>
  <c r="D177" i="69"/>
  <c r="E177" i="69" s="1"/>
  <c r="F177" i="69"/>
  <c r="G177" i="69" s="1"/>
  <c r="H177" i="69"/>
  <c r="I177" i="69"/>
  <c r="A178" i="69"/>
  <c r="D178" i="69"/>
  <c r="E178" i="69" s="1"/>
  <c r="F178" i="69"/>
  <c r="G178" i="69" s="1"/>
  <c r="H178" i="69"/>
  <c r="I178" i="69"/>
  <c r="A179" i="69"/>
  <c r="D179" i="69"/>
  <c r="E179" i="69" s="1"/>
  <c r="F179" i="69"/>
  <c r="G179" i="69" s="1"/>
  <c r="H179" i="69"/>
  <c r="I179" i="69"/>
  <c r="A180" i="69"/>
  <c r="D180" i="69"/>
  <c r="E180" i="69" s="1"/>
  <c r="F180" i="69"/>
  <c r="G180" i="69" s="1"/>
  <c r="H180" i="69"/>
  <c r="I180" i="69"/>
  <c r="A181" i="69"/>
  <c r="D181" i="69"/>
  <c r="E181" i="69" s="1"/>
  <c r="F181" i="69"/>
  <c r="G181" i="69" s="1"/>
  <c r="H181" i="69"/>
  <c r="I181" i="69"/>
  <c r="A182" i="69"/>
  <c r="D182" i="69"/>
  <c r="E182" i="69" s="1"/>
  <c r="F182" i="69"/>
  <c r="G182" i="69" s="1"/>
  <c r="H182" i="69"/>
  <c r="I182" i="69"/>
  <c r="A183" i="69"/>
  <c r="D183" i="69"/>
  <c r="E183" i="69" s="1"/>
  <c r="F183" i="69"/>
  <c r="G183" i="69" s="1"/>
  <c r="H183" i="69"/>
  <c r="I183" i="69"/>
  <c r="A184" i="69"/>
  <c r="D184" i="69"/>
  <c r="E184" i="69" s="1"/>
  <c r="F184" i="69"/>
  <c r="G184" i="69" s="1"/>
  <c r="H184" i="69"/>
  <c r="I184" i="69"/>
  <c r="A185" i="69"/>
  <c r="D185" i="69"/>
  <c r="E185" i="69" s="1"/>
  <c r="F185" i="69"/>
  <c r="G185" i="69" s="1"/>
  <c r="H185" i="69"/>
  <c r="I185" i="69"/>
  <c r="A186" i="69"/>
  <c r="D186" i="69"/>
  <c r="E186" i="69" s="1"/>
  <c r="F186" i="69"/>
  <c r="G186" i="69" s="1"/>
  <c r="H186" i="69"/>
  <c r="I186" i="69"/>
  <c r="A187" i="69"/>
  <c r="D187" i="69"/>
  <c r="E187" i="69" s="1"/>
  <c r="F187" i="69"/>
  <c r="G187" i="69" s="1"/>
  <c r="H187" i="69"/>
  <c r="I187" i="69"/>
  <c r="A188" i="69"/>
  <c r="D188" i="69"/>
  <c r="E188" i="69" s="1"/>
  <c r="F188" i="69"/>
  <c r="G188" i="69" s="1"/>
  <c r="H188" i="69"/>
  <c r="I188" i="69"/>
  <c r="A189" i="69"/>
  <c r="D189" i="69"/>
  <c r="E189" i="69" s="1"/>
  <c r="F189" i="69"/>
  <c r="G189" i="69" s="1"/>
  <c r="H189" i="69"/>
  <c r="I189" i="69"/>
  <c r="A190" i="69"/>
  <c r="D190" i="69"/>
  <c r="E190" i="69" s="1"/>
  <c r="F190" i="69"/>
  <c r="G190" i="69" s="1"/>
  <c r="H190" i="69"/>
  <c r="I190" i="69"/>
  <c r="A191" i="69"/>
  <c r="D191" i="69"/>
  <c r="E191" i="69" s="1"/>
  <c r="F191" i="69"/>
  <c r="G191" i="69" s="1"/>
  <c r="H191" i="69"/>
  <c r="I191" i="69"/>
  <c r="A192" i="69"/>
  <c r="D192" i="69"/>
  <c r="E192" i="69" s="1"/>
  <c r="F192" i="69"/>
  <c r="G192" i="69" s="1"/>
  <c r="H192" i="69"/>
  <c r="I192" i="69"/>
  <c r="A193" i="69"/>
  <c r="D193" i="69"/>
  <c r="E193" i="69" s="1"/>
  <c r="F193" i="69"/>
  <c r="G193" i="69" s="1"/>
  <c r="H193" i="69"/>
  <c r="I193" i="69"/>
  <c r="A194" i="69"/>
  <c r="D194" i="69"/>
  <c r="E194" i="69" s="1"/>
  <c r="F194" i="69"/>
  <c r="G194" i="69" s="1"/>
  <c r="H194" i="69"/>
  <c r="I194" i="69"/>
  <c r="A195" i="69"/>
  <c r="D195" i="69"/>
  <c r="E195" i="69" s="1"/>
  <c r="F195" i="69"/>
  <c r="G195" i="69" s="1"/>
  <c r="H195" i="69"/>
  <c r="I195" i="69"/>
  <c r="A196" i="69"/>
  <c r="D196" i="69"/>
  <c r="E196" i="69" s="1"/>
  <c r="F196" i="69"/>
  <c r="G196" i="69" s="1"/>
  <c r="H196" i="69"/>
  <c r="I196" i="69"/>
  <c r="A197" i="69"/>
  <c r="D197" i="69"/>
  <c r="E197" i="69" s="1"/>
  <c r="F197" i="69"/>
  <c r="G197" i="69" s="1"/>
  <c r="H197" i="69"/>
  <c r="I197" i="69"/>
  <c r="A198" i="69"/>
  <c r="D198" i="69"/>
  <c r="E198" i="69" s="1"/>
  <c r="F198" i="69"/>
  <c r="G198" i="69" s="1"/>
  <c r="H198" i="69"/>
  <c r="I198" i="69"/>
  <c r="A199" i="69"/>
  <c r="D199" i="69"/>
  <c r="E199" i="69" s="1"/>
  <c r="F199" i="69"/>
  <c r="G199" i="69" s="1"/>
  <c r="H199" i="69"/>
  <c r="I199" i="69"/>
  <c r="A200" i="69"/>
  <c r="D200" i="69"/>
  <c r="E200" i="69" s="1"/>
  <c r="F200" i="69"/>
  <c r="G200" i="69" s="1"/>
  <c r="H200" i="69"/>
  <c r="I200" i="69"/>
  <c r="A201" i="69"/>
  <c r="D201" i="69"/>
  <c r="E201" i="69" s="1"/>
  <c r="F201" i="69"/>
  <c r="G201" i="69" s="1"/>
  <c r="H201" i="69"/>
  <c r="I201" i="69"/>
  <c r="A202" i="69"/>
  <c r="D202" i="69"/>
  <c r="E202" i="69" s="1"/>
  <c r="F202" i="69"/>
  <c r="G202" i="69" s="1"/>
  <c r="H202" i="69"/>
  <c r="I202" i="69"/>
  <c r="A203" i="69"/>
  <c r="D203" i="69"/>
  <c r="E203" i="69" s="1"/>
  <c r="F203" i="69"/>
  <c r="G203" i="69" s="1"/>
  <c r="H203" i="69"/>
  <c r="I203" i="69"/>
  <c r="A204" i="69"/>
  <c r="D204" i="69"/>
  <c r="E204" i="69" s="1"/>
  <c r="F204" i="69"/>
  <c r="G204" i="69" s="1"/>
  <c r="H204" i="69"/>
  <c r="I204" i="69"/>
  <c r="A205" i="69"/>
  <c r="D205" i="69"/>
  <c r="E205" i="69" s="1"/>
  <c r="F205" i="69"/>
  <c r="G205" i="69" s="1"/>
  <c r="H205" i="69"/>
  <c r="I205" i="69"/>
  <c r="A206" i="69"/>
  <c r="D206" i="69"/>
  <c r="E206" i="69" s="1"/>
  <c r="F206" i="69"/>
  <c r="G206" i="69" s="1"/>
  <c r="H206" i="69"/>
  <c r="I206" i="69"/>
  <c r="A207" i="69"/>
  <c r="D207" i="69"/>
  <c r="E207" i="69" s="1"/>
  <c r="F207" i="69"/>
  <c r="G207" i="69" s="1"/>
  <c r="H207" i="69"/>
  <c r="I207" i="69"/>
  <c r="A208" i="69"/>
  <c r="D208" i="69"/>
  <c r="E208" i="69" s="1"/>
  <c r="F208" i="69"/>
  <c r="G208" i="69" s="1"/>
  <c r="H208" i="69"/>
  <c r="I208" i="69"/>
  <c r="A209" i="69"/>
  <c r="D209" i="69"/>
  <c r="E209" i="69" s="1"/>
  <c r="F209" i="69"/>
  <c r="G209" i="69" s="1"/>
  <c r="H209" i="69"/>
  <c r="I209" i="69"/>
  <c r="A210" i="69"/>
  <c r="D210" i="69"/>
  <c r="E210" i="69" s="1"/>
  <c r="F210" i="69"/>
  <c r="G210" i="69" s="1"/>
  <c r="H210" i="69"/>
  <c r="I210" i="69"/>
  <c r="A211" i="69"/>
  <c r="D211" i="69"/>
  <c r="E211" i="69" s="1"/>
  <c r="F211" i="69"/>
  <c r="G211" i="69" s="1"/>
  <c r="H211" i="69"/>
  <c r="I211" i="69"/>
  <c r="A212" i="69"/>
  <c r="D212" i="69"/>
  <c r="E212" i="69" s="1"/>
  <c r="F212" i="69"/>
  <c r="G212" i="69" s="1"/>
  <c r="H212" i="69"/>
  <c r="I212" i="69"/>
  <c r="A213" i="69"/>
  <c r="D213" i="69"/>
  <c r="E213" i="69" s="1"/>
  <c r="F213" i="69"/>
  <c r="G213" i="69" s="1"/>
  <c r="H213" i="69"/>
  <c r="I213" i="69"/>
  <c r="A214" i="69"/>
  <c r="D214" i="69"/>
  <c r="E214" i="69" s="1"/>
  <c r="F214" i="69"/>
  <c r="G214" i="69" s="1"/>
  <c r="H214" i="69"/>
  <c r="I214" i="69"/>
  <c r="A215" i="69"/>
  <c r="D215" i="69"/>
  <c r="E215" i="69" s="1"/>
  <c r="F215" i="69"/>
  <c r="G215" i="69" s="1"/>
  <c r="H215" i="69"/>
  <c r="I215" i="69"/>
  <c r="A216" i="69"/>
  <c r="D216" i="69"/>
  <c r="E216" i="69" s="1"/>
  <c r="F216" i="69"/>
  <c r="G216" i="69" s="1"/>
  <c r="H216" i="69"/>
  <c r="I216" i="69"/>
  <c r="A217" i="69"/>
  <c r="D217" i="69"/>
  <c r="E217" i="69" s="1"/>
  <c r="F217" i="69"/>
  <c r="G217" i="69" s="1"/>
  <c r="H217" i="69"/>
  <c r="I217" i="69"/>
  <c r="A218" i="69"/>
  <c r="D218" i="69"/>
  <c r="E218" i="69" s="1"/>
  <c r="F218" i="69"/>
  <c r="G218" i="69" s="1"/>
  <c r="H218" i="69"/>
  <c r="I218" i="69"/>
  <c r="A219" i="69"/>
  <c r="D219" i="69"/>
  <c r="E219" i="69" s="1"/>
  <c r="F219" i="69"/>
  <c r="G219" i="69" s="1"/>
  <c r="H219" i="69"/>
  <c r="I219" i="69"/>
  <c r="A220" i="69"/>
  <c r="D220" i="69"/>
  <c r="E220" i="69" s="1"/>
  <c r="F220" i="69"/>
  <c r="G220" i="69" s="1"/>
  <c r="H220" i="69"/>
  <c r="I220" i="69"/>
  <c r="A221" i="69"/>
  <c r="D221" i="69"/>
  <c r="E221" i="69" s="1"/>
  <c r="F221" i="69"/>
  <c r="G221" i="69" s="1"/>
  <c r="H221" i="69"/>
  <c r="I221" i="69"/>
  <c r="J221" i="69" s="1"/>
  <c r="A222" i="69"/>
  <c r="D222" i="69"/>
  <c r="E222" i="69" s="1"/>
  <c r="F222" i="69"/>
  <c r="G222" i="69" s="1"/>
  <c r="H222" i="69"/>
  <c r="I222" i="69"/>
  <c r="A223" i="69"/>
  <c r="D223" i="69"/>
  <c r="E223" i="69" s="1"/>
  <c r="F223" i="69"/>
  <c r="G223" i="69" s="1"/>
  <c r="H223" i="69"/>
  <c r="I223" i="69"/>
  <c r="A224" i="69"/>
  <c r="D224" i="69"/>
  <c r="E224" i="69" s="1"/>
  <c r="F224" i="69"/>
  <c r="G224" i="69" s="1"/>
  <c r="H224" i="69"/>
  <c r="I224" i="69"/>
  <c r="A225" i="69"/>
  <c r="D225" i="69"/>
  <c r="E225" i="69" s="1"/>
  <c r="F225" i="69"/>
  <c r="G225" i="69" s="1"/>
  <c r="H225" i="69"/>
  <c r="I225" i="69"/>
  <c r="A226" i="69"/>
  <c r="D226" i="69"/>
  <c r="E226" i="69" s="1"/>
  <c r="F226" i="69"/>
  <c r="G226" i="69" s="1"/>
  <c r="H226" i="69"/>
  <c r="I226" i="69"/>
  <c r="A227" i="69"/>
  <c r="D227" i="69"/>
  <c r="E227" i="69" s="1"/>
  <c r="F227" i="69"/>
  <c r="G227" i="69" s="1"/>
  <c r="H227" i="69"/>
  <c r="I227" i="69"/>
  <c r="A228" i="69"/>
  <c r="D228" i="69"/>
  <c r="E228" i="69" s="1"/>
  <c r="F228" i="69"/>
  <c r="G228" i="69" s="1"/>
  <c r="H228" i="69"/>
  <c r="I228" i="69"/>
  <c r="A229" i="69"/>
  <c r="D229" i="69"/>
  <c r="E229" i="69" s="1"/>
  <c r="F229" i="69"/>
  <c r="G229" i="69" s="1"/>
  <c r="H229" i="69"/>
  <c r="I229" i="69"/>
  <c r="A230" i="69"/>
  <c r="D230" i="69"/>
  <c r="E230" i="69" s="1"/>
  <c r="F230" i="69"/>
  <c r="G230" i="69" s="1"/>
  <c r="H230" i="69"/>
  <c r="I230" i="69"/>
  <c r="A231" i="69"/>
  <c r="D231" i="69"/>
  <c r="E231" i="69" s="1"/>
  <c r="F231" i="69"/>
  <c r="G231" i="69" s="1"/>
  <c r="H231" i="69"/>
  <c r="I231" i="69"/>
  <c r="A232" i="69"/>
  <c r="D232" i="69"/>
  <c r="E232" i="69" s="1"/>
  <c r="F232" i="69"/>
  <c r="G232" i="69" s="1"/>
  <c r="H232" i="69"/>
  <c r="I232" i="69"/>
  <c r="A233" i="69"/>
  <c r="D233" i="69"/>
  <c r="E233" i="69" s="1"/>
  <c r="F233" i="69"/>
  <c r="G233" i="69" s="1"/>
  <c r="H233" i="69"/>
  <c r="I233" i="69"/>
  <c r="J233" i="69" s="1"/>
  <c r="A234" i="69"/>
  <c r="D234" i="69"/>
  <c r="E234" i="69" s="1"/>
  <c r="F234" i="69"/>
  <c r="G234" i="69" s="1"/>
  <c r="H234" i="69"/>
  <c r="I234" i="69"/>
  <c r="A235" i="69"/>
  <c r="D235" i="69"/>
  <c r="E235" i="69" s="1"/>
  <c r="F235" i="69"/>
  <c r="G235" i="69" s="1"/>
  <c r="H235" i="69"/>
  <c r="I235" i="69"/>
  <c r="A236" i="69"/>
  <c r="D236" i="69"/>
  <c r="E236" i="69" s="1"/>
  <c r="F236" i="69"/>
  <c r="G236" i="69" s="1"/>
  <c r="H236" i="69"/>
  <c r="I236" i="69"/>
  <c r="A237" i="69"/>
  <c r="D237" i="69"/>
  <c r="E237" i="69" s="1"/>
  <c r="F237" i="69"/>
  <c r="G237" i="69" s="1"/>
  <c r="H237" i="69"/>
  <c r="I237" i="69"/>
  <c r="A238" i="69"/>
  <c r="D238" i="69"/>
  <c r="E238" i="69" s="1"/>
  <c r="F238" i="69"/>
  <c r="G238" i="69" s="1"/>
  <c r="H238" i="69"/>
  <c r="I238" i="69"/>
  <c r="A239" i="69"/>
  <c r="D239" i="69"/>
  <c r="E239" i="69" s="1"/>
  <c r="F239" i="69"/>
  <c r="G239" i="69" s="1"/>
  <c r="H239" i="69"/>
  <c r="I239" i="69"/>
  <c r="A240" i="69"/>
  <c r="D240" i="69"/>
  <c r="E240" i="69" s="1"/>
  <c r="F240" i="69"/>
  <c r="G240" i="69" s="1"/>
  <c r="H240" i="69"/>
  <c r="I240" i="69"/>
  <c r="A241" i="69"/>
  <c r="D241" i="69"/>
  <c r="E241" i="69" s="1"/>
  <c r="F241" i="69"/>
  <c r="G241" i="69" s="1"/>
  <c r="H241" i="69"/>
  <c r="I241" i="69"/>
  <c r="A242" i="69"/>
  <c r="D242" i="69"/>
  <c r="E242" i="69" s="1"/>
  <c r="F242" i="69"/>
  <c r="G242" i="69" s="1"/>
  <c r="H242" i="69"/>
  <c r="I242" i="69"/>
  <c r="A243" i="69"/>
  <c r="D243" i="69"/>
  <c r="E243" i="69" s="1"/>
  <c r="F243" i="69"/>
  <c r="G243" i="69" s="1"/>
  <c r="H243" i="69"/>
  <c r="I243" i="69"/>
  <c r="A244" i="69"/>
  <c r="D244" i="69"/>
  <c r="E244" i="69" s="1"/>
  <c r="F244" i="69"/>
  <c r="G244" i="69" s="1"/>
  <c r="H244" i="69"/>
  <c r="I244" i="69"/>
  <c r="A245" i="69"/>
  <c r="D245" i="69"/>
  <c r="E245" i="69" s="1"/>
  <c r="F245" i="69"/>
  <c r="G245" i="69" s="1"/>
  <c r="H245" i="69"/>
  <c r="I245" i="69"/>
  <c r="A246" i="69"/>
  <c r="D246" i="69"/>
  <c r="E246" i="69" s="1"/>
  <c r="F246" i="69"/>
  <c r="G246" i="69" s="1"/>
  <c r="H246" i="69"/>
  <c r="I246" i="69"/>
  <c r="A247" i="69"/>
  <c r="D247" i="69"/>
  <c r="E247" i="69" s="1"/>
  <c r="F247" i="69"/>
  <c r="G247" i="69" s="1"/>
  <c r="H247" i="69"/>
  <c r="I247" i="69"/>
  <c r="J247" i="69" s="1"/>
  <c r="A248" i="69"/>
  <c r="D248" i="69"/>
  <c r="E248" i="69" s="1"/>
  <c r="F248" i="69"/>
  <c r="G248" i="69" s="1"/>
  <c r="H248" i="69"/>
  <c r="I248" i="69"/>
  <c r="A249" i="69"/>
  <c r="D249" i="69"/>
  <c r="E249" i="69" s="1"/>
  <c r="F249" i="69"/>
  <c r="G249" i="69" s="1"/>
  <c r="H249" i="69"/>
  <c r="I249" i="69"/>
  <c r="A250" i="69"/>
  <c r="D250" i="69"/>
  <c r="E250" i="69" s="1"/>
  <c r="F250" i="69"/>
  <c r="G250" i="69" s="1"/>
  <c r="H250" i="69"/>
  <c r="I250" i="69"/>
  <c r="A251" i="69"/>
  <c r="D251" i="69"/>
  <c r="E251" i="69" s="1"/>
  <c r="F251" i="69"/>
  <c r="G251" i="69" s="1"/>
  <c r="H251" i="69"/>
  <c r="I251" i="69"/>
  <c r="A252" i="69"/>
  <c r="D252" i="69"/>
  <c r="E252" i="69" s="1"/>
  <c r="F252" i="69"/>
  <c r="G252" i="69" s="1"/>
  <c r="H252" i="69"/>
  <c r="I252" i="69"/>
  <c r="A253" i="69"/>
  <c r="D253" i="69"/>
  <c r="E253" i="69" s="1"/>
  <c r="F253" i="69"/>
  <c r="G253" i="69" s="1"/>
  <c r="H253" i="69"/>
  <c r="I253" i="69"/>
  <c r="A254" i="69"/>
  <c r="D254" i="69"/>
  <c r="E254" i="69" s="1"/>
  <c r="F254" i="69"/>
  <c r="G254" i="69" s="1"/>
  <c r="H254" i="69"/>
  <c r="I254" i="69"/>
  <c r="A255" i="69"/>
  <c r="D255" i="69"/>
  <c r="E255" i="69" s="1"/>
  <c r="F255" i="69"/>
  <c r="G255" i="69" s="1"/>
  <c r="H255" i="69"/>
  <c r="I255" i="69"/>
  <c r="A256" i="69"/>
  <c r="D256" i="69"/>
  <c r="E256" i="69" s="1"/>
  <c r="F256" i="69"/>
  <c r="G256" i="69" s="1"/>
  <c r="H256" i="69"/>
  <c r="I256" i="69"/>
  <c r="J244" i="69" l="1"/>
  <c r="J236" i="69"/>
  <c r="J239" i="69"/>
  <c r="J158" i="69"/>
  <c r="J41" i="69"/>
  <c r="J49" i="69"/>
  <c r="J109" i="69"/>
  <c r="J32" i="69"/>
  <c r="J89" i="69"/>
  <c r="J47" i="69"/>
  <c r="J207" i="69"/>
  <c r="J252" i="69"/>
  <c r="J204" i="69"/>
  <c r="J191" i="69"/>
  <c r="J71" i="69"/>
  <c r="J164" i="69"/>
  <c r="J130" i="69"/>
  <c r="J255" i="69"/>
  <c r="J188" i="69"/>
  <c r="J87" i="69"/>
  <c r="J201" i="69"/>
  <c r="J101" i="69"/>
  <c r="J172" i="69"/>
  <c r="J24" i="69"/>
  <c r="J134" i="69"/>
  <c r="J106" i="69"/>
  <c r="J98" i="69"/>
  <c r="J90" i="69"/>
  <c r="J39" i="69"/>
  <c r="J31" i="69"/>
  <c r="J15" i="69"/>
  <c r="J117" i="69"/>
  <c r="J212" i="69"/>
  <c r="J231" i="69"/>
  <c r="J223" i="69"/>
  <c r="J215" i="69"/>
  <c r="J169" i="69"/>
  <c r="J147" i="69"/>
  <c r="J254" i="69"/>
  <c r="J251" i="69"/>
  <c r="J189" i="69"/>
  <c r="J153" i="69"/>
  <c r="J95" i="69"/>
  <c r="J63" i="69"/>
  <c r="J133" i="69"/>
  <c r="J125" i="69"/>
  <c r="J180" i="69"/>
  <c r="J183" i="69"/>
  <c r="J220" i="69"/>
  <c r="J45" i="69"/>
  <c r="J37" i="69"/>
  <c r="J126" i="69"/>
  <c r="J185" i="69"/>
  <c r="J119" i="69"/>
  <c r="J107" i="69"/>
  <c r="J102" i="69"/>
  <c r="J77" i="69"/>
  <c r="J69" i="69"/>
  <c r="J53" i="69"/>
  <c r="J240" i="69"/>
  <c r="J170" i="69"/>
  <c r="J190" i="69"/>
  <c r="J187" i="69"/>
  <c r="J196" i="69"/>
  <c r="J176" i="69"/>
  <c r="J131" i="69"/>
  <c r="J222" i="69"/>
  <c r="J219" i="69"/>
  <c r="J199" i="69"/>
  <c r="J148" i="69"/>
  <c r="J228" i="69"/>
  <c r="J217" i="69"/>
  <c r="J208" i="69"/>
  <c r="J177" i="69"/>
  <c r="J163" i="69"/>
  <c r="J140" i="69"/>
  <c r="J137" i="69"/>
  <c r="J127" i="69"/>
  <c r="J116" i="69"/>
  <c r="J108" i="69"/>
  <c r="J75" i="69"/>
  <c r="J59" i="69"/>
  <c r="J51" i="69"/>
  <c r="J144" i="69"/>
  <c r="J136" i="69"/>
  <c r="J114" i="69"/>
  <c r="J28" i="69"/>
  <c r="J58" i="69"/>
  <c r="J129" i="69"/>
  <c r="J124" i="69"/>
  <c r="J97" i="69"/>
  <c r="J94" i="69"/>
  <c r="J91" i="69"/>
  <c r="J88" i="69"/>
  <c r="J72" i="69"/>
  <c r="J67" i="69"/>
  <c r="J42" i="69"/>
  <c r="J34" i="69"/>
  <c r="J29" i="69"/>
  <c r="J62" i="69"/>
  <c r="J54" i="69"/>
  <c r="J122" i="69"/>
  <c r="J111" i="69"/>
  <c r="J65" i="69"/>
  <c r="J57" i="69"/>
  <c r="J43" i="69"/>
  <c r="J35" i="69"/>
  <c r="J27" i="69"/>
  <c r="J19" i="69"/>
  <c r="J128" i="69"/>
  <c r="J84" i="69"/>
  <c r="J76" i="69"/>
  <c r="J68" i="69"/>
  <c r="J55" i="69"/>
  <c r="J46" i="69"/>
  <c r="J214" i="69"/>
  <c r="J182" i="69"/>
  <c r="J179" i="69"/>
  <c r="J232" i="69"/>
  <c r="J200" i="69"/>
  <c r="J155" i="69"/>
  <c r="J149" i="69"/>
  <c r="J143" i="69"/>
  <c r="J238" i="69"/>
  <c r="J206" i="69"/>
  <c r="J174" i="69"/>
  <c r="J192" i="69"/>
  <c r="J165" i="69"/>
  <c r="J230" i="69"/>
  <c r="J227" i="69"/>
  <c r="J198" i="69"/>
  <c r="J195" i="69"/>
  <c r="J141" i="69"/>
  <c r="J248" i="69"/>
  <c r="J245" i="69"/>
  <c r="J225" i="69"/>
  <c r="J216" i="69"/>
  <c r="J213" i="69"/>
  <c r="J193" i="69"/>
  <c r="J184" i="69"/>
  <c r="J166" i="69"/>
  <c r="J160" i="69"/>
  <c r="J154" i="69"/>
  <c r="J139" i="69"/>
  <c r="J123" i="69"/>
  <c r="J25" i="69"/>
  <c r="J246" i="69"/>
  <c r="J243" i="69"/>
  <c r="J211" i="69"/>
  <c r="J167" i="69"/>
  <c r="J152" i="69"/>
  <c r="J235" i="69"/>
  <c r="J203" i="69"/>
  <c r="J171" i="69"/>
  <c r="J146" i="69"/>
  <c r="J135" i="69"/>
  <c r="J256" i="69"/>
  <c r="J224" i="69"/>
  <c r="J138" i="69"/>
  <c r="J151" i="69"/>
  <c r="J142" i="69"/>
  <c r="J115" i="69"/>
  <c r="J96" i="69"/>
  <c r="J85" i="69"/>
  <c r="J82" i="69"/>
  <c r="J74" i="69"/>
  <c r="J66" i="69"/>
  <c r="J253" i="69"/>
  <c r="J237" i="69"/>
  <c r="J250" i="69"/>
  <c r="J234" i="69"/>
  <c r="J218" i="69"/>
  <c r="J202" i="69"/>
  <c r="J186" i="69"/>
  <c r="J173" i="69"/>
  <c r="J241" i="69"/>
  <c r="J209" i="69"/>
  <c r="J162" i="69"/>
  <c r="J159" i="69"/>
  <c r="J156" i="69"/>
  <c r="J113" i="69"/>
  <c r="J110" i="69"/>
  <c r="J40" i="69"/>
  <c r="J205" i="69"/>
  <c r="J229" i="69"/>
  <c r="J197" i="69"/>
  <c r="J181" i="69"/>
  <c r="J145" i="69"/>
  <c r="J132" i="69"/>
  <c r="J80" i="69"/>
  <c r="J50" i="69"/>
  <c r="J120" i="69"/>
  <c r="J105" i="69"/>
  <c r="J99" i="69"/>
  <c r="J83" i="69"/>
  <c r="J44" i="69"/>
  <c r="J38" i="69"/>
  <c r="J242" i="69"/>
  <c r="J226" i="69"/>
  <c r="J210" i="69"/>
  <c r="J194" i="69"/>
  <c r="J178" i="69"/>
  <c r="J175" i="69"/>
  <c r="J249" i="69"/>
  <c r="J168" i="69"/>
  <c r="J161" i="69"/>
  <c r="J157" i="69"/>
  <c r="J150" i="69"/>
  <c r="J112" i="69"/>
  <c r="J103" i="69"/>
  <c r="J100" i="69"/>
  <c r="J92" i="69"/>
  <c r="J70" i="69"/>
  <c r="J48" i="69"/>
  <c r="J33" i="69"/>
  <c r="J121" i="69"/>
  <c r="J118" i="69"/>
  <c r="J104" i="69"/>
  <c r="J93" i="69"/>
  <c r="J79" i="69"/>
  <c r="J64" i="69"/>
  <c r="J61" i="69"/>
  <c r="J52" i="69"/>
  <c r="J36" i="69"/>
  <c r="J86" i="69"/>
  <c r="J81" i="69"/>
  <c r="J26" i="69"/>
  <c r="J78" i="69"/>
  <c r="J73" i="69"/>
  <c r="J56" i="69"/>
  <c r="J30" i="69"/>
  <c r="J60" i="69"/>
  <c r="J18" i="69"/>
  <c r="J16" i="69"/>
  <c r="J17" i="69"/>
  <c r="J12" i="69"/>
  <c r="J3" i="69"/>
  <c r="J8" i="69"/>
  <c r="J4" i="69"/>
  <c r="J22" i="69"/>
  <c r="J5" i="69"/>
  <c r="J20" i="69"/>
  <c r="J14" i="69"/>
  <c r="J11" i="69"/>
  <c r="J23" i="69"/>
  <c r="J9" i="69"/>
  <c r="J6" i="69"/>
  <c r="J21" i="69"/>
  <c r="J13" i="69"/>
  <c r="J10" i="69"/>
  <c r="J7" i="69"/>
  <c r="D2" i="69"/>
  <c r="E2" i="69" s="1"/>
  <c r="A2" i="69" l="1"/>
  <c r="H2" i="69" l="1"/>
  <c r="I2" i="69"/>
  <c r="G2" i="69"/>
  <c r="J2" i="69" l="1"/>
</calcChain>
</file>

<file path=xl/sharedStrings.xml><?xml version="1.0" encoding="utf-8"?>
<sst xmlns="http://schemas.openxmlformats.org/spreadsheetml/2006/main" count="363" uniqueCount="109">
  <si>
    <t>발주일자</t>
  </si>
  <si>
    <t>점포명</t>
  </si>
  <si>
    <t>상품코드</t>
  </si>
  <si>
    <t>상품명</t>
  </si>
  <si>
    <t>발주원가</t>
  </si>
  <si>
    <t>발주금액</t>
  </si>
  <si>
    <t>전표번호</t>
  </si>
  <si>
    <t>바이어명</t>
  </si>
  <si>
    <t>센터입하일자</t>
  </si>
  <si>
    <t>센터코드</t>
  </si>
  <si>
    <t>점입점일자</t>
  </si>
  <si>
    <t>납품구분</t>
  </si>
  <si>
    <t>기타(점코드)</t>
  </si>
  <si>
    <t>기타(점포명)</t>
  </si>
  <si>
    <t>점포코드</t>
    <phoneticPr fontId="86" type="noConversion"/>
  </si>
  <si>
    <t xml:space="preserve">점포명 </t>
    <phoneticPr fontId="86" type="noConversion"/>
  </si>
  <si>
    <t>여주</t>
    <phoneticPr fontId="86" type="noConversion"/>
  </si>
  <si>
    <t>대구</t>
    <phoneticPr fontId="86" type="noConversion"/>
  </si>
  <si>
    <t xml:space="preserve">이마트 상품명 </t>
    <phoneticPr fontId="86" type="noConversion"/>
  </si>
  <si>
    <t>발주코드</t>
  </si>
  <si>
    <t>배송코드</t>
  </si>
  <si>
    <t>UNIT단가</t>
    <phoneticPr fontId="86" type="noConversion"/>
  </si>
  <si>
    <t>Total Amount</t>
    <phoneticPr fontId="86" type="noConversion"/>
  </si>
  <si>
    <t>BRAND</t>
    <phoneticPr fontId="86" type="noConversion"/>
  </si>
  <si>
    <t>비고</t>
    <phoneticPr fontId="86" type="noConversion"/>
  </si>
  <si>
    <t>업체코드</t>
  </si>
  <si>
    <t>업체명</t>
  </si>
  <si>
    <t>점포코드</t>
  </si>
  <si>
    <t>발주단위</t>
  </si>
  <si>
    <t>LOT</t>
  </si>
  <si>
    <t>수량</t>
  </si>
  <si>
    <t>LOT</t>
    <phoneticPr fontId="86" type="noConversion"/>
  </si>
  <si>
    <t>원래코드</t>
    <phoneticPr fontId="86" type="noConversion"/>
  </si>
  <si>
    <t>상품코드(기획)</t>
    <phoneticPr fontId="86" type="noConversion"/>
  </si>
  <si>
    <t>UNIT수량</t>
    <phoneticPr fontId="86" type="noConversion"/>
  </si>
  <si>
    <t>상품명(기획)</t>
    <phoneticPr fontId="86" type="noConversion"/>
  </si>
  <si>
    <t>REGUAL</t>
    <phoneticPr fontId="149" type="noConversion"/>
  </si>
  <si>
    <t>바코드</t>
    <phoneticPr fontId="86" type="noConversion"/>
  </si>
  <si>
    <t>아크네스 포밍워시 200ml*2입</t>
  </si>
  <si>
    <t>하다라보 고쿠쥰 라이트 로션 170ml*2입</t>
  </si>
  <si>
    <t>ME00621C44</t>
  </si>
  <si>
    <t>ME00621GL7</t>
  </si>
  <si>
    <t>납품일자</t>
    <phoneticPr fontId="86" type="noConversion"/>
  </si>
  <si>
    <t>센터명</t>
    <phoneticPr fontId="86" type="noConversion"/>
  </si>
  <si>
    <t>제품명</t>
    <phoneticPr fontId="86" type="noConversion"/>
  </si>
  <si>
    <t>ME00621H56</t>
  </si>
  <si>
    <t>하다라보 고쿠쥰 밀크 1+1 (트레이더스)</t>
  </si>
  <si>
    <t>멘소래담 롤온 로션 50ml*2입</t>
  </si>
  <si>
    <t>ME80421DRT</t>
  </si>
  <si>
    <t>멘소래담 마사지 롤온 로션 1+1 (트레이더스)</t>
  </si>
  <si>
    <t>하다라보 고쿠쥰 로션 170mL*2</t>
  </si>
  <si>
    <t>ME00621H55</t>
  </si>
  <si>
    <t>하다라보 고쿠쥰 로션 1+1(트레이더스)</t>
  </si>
  <si>
    <t>아크네스 포맨 퍼펙트 올인원</t>
  </si>
  <si>
    <t>ME00621FAA</t>
  </si>
  <si>
    <t>아크네스 포맨 스킨+올인원 세트 (트레이더스)</t>
  </si>
  <si>
    <t>하다라보 고쿠쥰 로션 170ml*2입</t>
  </si>
  <si>
    <t>ME90621L2L</t>
  </si>
  <si>
    <t>하다라보 고쿠쥰 밀크 140ml*2입</t>
  </si>
  <si>
    <t>ME90621M2M</t>
  </si>
  <si>
    <t>신)멘소래담 롤온 로션 50ml*2입</t>
  </si>
  <si>
    <t>ME80421DTD</t>
  </si>
  <si>
    <t>롤온핫 KR버전</t>
    <phoneticPr fontId="86" type="noConversion"/>
  </si>
  <si>
    <t>※트레이더스 유통기한 입점 기준</t>
  </si>
  <si>
    <t>- 국내 제조 : 총 유통기한의 2/3</t>
  </si>
  <si>
    <t>- 수입 상품 : 총 유통기한의 1/2</t>
  </si>
  <si>
    <t>맨소래덤아시아퍼시픽 주식회사</t>
  </si>
  <si>
    <t>- 고쿠쥰 로션 Fresh LOT으로</t>
    <phoneticPr fontId="86" type="noConversion"/>
  </si>
  <si>
    <t>롤온</t>
    <phoneticPr fontId="86" type="noConversion"/>
  </si>
  <si>
    <t>포밍</t>
    <phoneticPr fontId="86" type="noConversion"/>
  </si>
  <si>
    <t>밀크</t>
    <phoneticPr fontId="86" type="noConversion"/>
  </si>
  <si>
    <t>로션</t>
    <phoneticPr fontId="86" type="noConversion"/>
  </si>
  <si>
    <t>센터명</t>
  </si>
  <si>
    <t>제품명</t>
  </si>
  <si>
    <t>UNIT수량</t>
  </si>
  <si>
    <t>총합계</t>
  </si>
  <si>
    <t>합계 : UNIT수량</t>
  </si>
  <si>
    <t>멘소래담 스프레이 파스 쿨 180ml*3입</t>
  </si>
  <si>
    <t>ME00421189</t>
  </si>
  <si>
    <t>아크네스 포맨 퍼펙트 올인원 200ml+30ml*2</t>
  </si>
  <si>
    <t>ME00621FAT</t>
  </si>
  <si>
    <t>아크네스 포맨 퍼펙트 올인원 200ml+30ml x 2 (트레이더스)</t>
  </si>
  <si>
    <t>매장 창고</t>
  </si>
  <si>
    <t>UNIT단가</t>
  </si>
  <si>
    <t>Total Amount</t>
  </si>
  <si>
    <t>점포명</t>
    <phoneticPr fontId="86" type="noConversion"/>
  </si>
  <si>
    <t>점포확인</t>
    <phoneticPr fontId="86" type="noConversion"/>
  </si>
  <si>
    <t>최철원</t>
  </si>
  <si>
    <t>점포명</t>
    <phoneticPr fontId="86" type="noConversion"/>
  </si>
  <si>
    <t>대구</t>
  </si>
  <si>
    <t>TC</t>
  </si>
  <si>
    <t>TR비산점</t>
  </si>
  <si>
    <t>(비어 있음)</t>
  </si>
  <si>
    <t>평택</t>
    <phoneticPr fontId="86" type="noConversion"/>
  </si>
  <si>
    <t>평택</t>
  </si>
  <si>
    <t>ME90621M3M</t>
  </si>
  <si>
    <t>ME90621L3L</t>
  </si>
  <si>
    <t>하다라보 고쿠쥰 로션 170ml*2입</t>
    <phoneticPr fontId="86" type="noConversion"/>
  </si>
  <si>
    <t>TR스타필드하남점</t>
  </si>
  <si>
    <t>TR연산점</t>
  </si>
  <si>
    <t>TR마곡점</t>
  </si>
  <si>
    <t>TR스타필드부천점</t>
  </si>
  <si>
    <t>TR수원점</t>
  </si>
  <si>
    <t>TR월평점</t>
  </si>
  <si>
    <t>TR양산점</t>
  </si>
  <si>
    <t>TR일산점</t>
  </si>
  <si>
    <t>TR스타필드수원화서점</t>
  </si>
  <si>
    <t>평택DRY센터</t>
  </si>
  <si>
    <t>칠곡DRY센터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</si>
</sst>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);[Red]\(0\)"/>
    <numFmt numFmtId="177" formatCode="yyyy&quot;/&quot;m&quot;/&quot;d;@"/>
    <numFmt numFmtId="178" formatCode="0_ "/>
  </numFmts>
  <fonts count="17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新細明體"/>
      <family val="1"/>
    </font>
    <font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65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9"/>
      <color theme="0" tint="-0.34998626667073579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0"/>
      <name val="Arial"/>
      <family val="2"/>
    </font>
    <font>
      <sz val="10"/>
      <name val="돋움"/>
      <family val="3"/>
      <charset val="129"/>
    </font>
    <font>
      <sz val="1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9"/>
      <color theme="0" tint="-0.249977111117893"/>
      <name val="맑은 고딕"/>
      <family val="3"/>
      <charset val="129"/>
      <scheme val="major"/>
    </font>
    <font>
      <sz val="10"/>
      <name val="Arial"/>
      <family val="2"/>
    </font>
    <font>
      <sz val="1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9"/>
      <name val="맑은 고딕"/>
      <family val="3"/>
      <charset val="129"/>
      <scheme val="major"/>
    </font>
    <font>
      <b/>
      <sz val="9"/>
      <color theme="0" tint="-0.34998626667073579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b/>
      <sz val="9"/>
      <color theme="0" tint="-0.249977111117893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0"/>
      <color rgb="FFFF0000"/>
      <name val="굴림"/>
      <family val="3"/>
      <charset val="129"/>
    </font>
    <font>
      <sz val="11"/>
      <color rgb="FF656565"/>
      <name val="Malgun Gothic"/>
      <family val="3"/>
      <charset val="129"/>
    </font>
    <font>
      <sz val="10"/>
      <color rgb="FF000000"/>
      <name val="맑은 고딕"/>
      <family val="3"/>
      <charset val="129"/>
    </font>
  </fonts>
  <fills count="4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CCCCCC"/>
      </left>
      <right style="thin">
        <color rgb="FFCCCCCC"/>
      </right>
      <top/>
      <bottom style="thin">
        <color rgb="FFE2E2E2"/>
      </bottom>
      <diagonal/>
    </border>
    <border>
      <left/>
      <right style="thin">
        <color rgb="FFCCCCCC"/>
      </right>
      <top/>
      <bottom style="thin">
        <color rgb="FFE2E2E2"/>
      </bottom>
      <diagonal/>
    </border>
  </borders>
  <cellStyleXfs count="1912">
    <xf numFmtId="0" fontId="0" fillId="0" borderId="0">
      <alignment vertical="center"/>
    </xf>
    <xf numFmtId="0" fontId="89" fillId="3" borderId="0" applyNumberFormat="0" applyBorder="0" applyAlignment="0" applyProtection="0">
      <alignment vertical="center"/>
    </xf>
    <xf numFmtId="0" fontId="89" fillId="3" borderId="0" applyNumberFormat="0" applyBorder="0" applyAlignment="0" applyProtection="0">
      <alignment vertical="center"/>
    </xf>
    <xf numFmtId="0" fontId="89" fillId="3" borderId="0" applyNumberFormat="0" applyBorder="0" applyAlignment="0" applyProtection="0">
      <alignment vertical="center"/>
    </xf>
    <xf numFmtId="0" fontId="89" fillId="3" borderId="0" applyNumberFormat="0" applyBorder="0" applyAlignment="0" applyProtection="0">
      <alignment vertical="center"/>
    </xf>
    <xf numFmtId="0" fontId="89" fillId="4" borderId="0" applyNumberFormat="0" applyBorder="0" applyAlignment="0" applyProtection="0">
      <alignment vertical="center"/>
    </xf>
    <xf numFmtId="0" fontId="89" fillId="4" borderId="0" applyNumberFormat="0" applyBorder="0" applyAlignment="0" applyProtection="0">
      <alignment vertical="center"/>
    </xf>
    <xf numFmtId="0" fontId="89" fillId="4" borderId="0" applyNumberFormat="0" applyBorder="0" applyAlignment="0" applyProtection="0">
      <alignment vertical="center"/>
    </xf>
    <xf numFmtId="0" fontId="89" fillId="4" borderId="0" applyNumberFormat="0" applyBorder="0" applyAlignment="0" applyProtection="0">
      <alignment vertical="center"/>
    </xf>
    <xf numFmtId="0" fontId="89" fillId="5" borderId="0" applyNumberFormat="0" applyBorder="0" applyAlignment="0" applyProtection="0">
      <alignment vertical="center"/>
    </xf>
    <xf numFmtId="0" fontId="89" fillId="5" borderId="0" applyNumberFormat="0" applyBorder="0" applyAlignment="0" applyProtection="0">
      <alignment vertical="center"/>
    </xf>
    <xf numFmtId="0" fontId="89" fillId="5" borderId="0" applyNumberFormat="0" applyBorder="0" applyAlignment="0" applyProtection="0">
      <alignment vertical="center"/>
    </xf>
    <xf numFmtId="0" fontId="89" fillId="5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7" borderId="0" applyNumberFormat="0" applyBorder="0" applyAlignment="0" applyProtection="0">
      <alignment vertical="center"/>
    </xf>
    <xf numFmtId="0" fontId="89" fillId="7" borderId="0" applyNumberFormat="0" applyBorder="0" applyAlignment="0" applyProtection="0">
      <alignment vertical="center"/>
    </xf>
    <xf numFmtId="0" fontId="89" fillId="7" borderId="0" applyNumberFormat="0" applyBorder="0" applyAlignment="0" applyProtection="0">
      <alignment vertical="center"/>
    </xf>
    <xf numFmtId="0" fontId="89" fillId="7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9" borderId="0" applyNumberFormat="0" applyBorder="0" applyAlignment="0" applyProtection="0">
      <alignment vertical="center"/>
    </xf>
    <xf numFmtId="0" fontId="89" fillId="9" borderId="0" applyNumberFormat="0" applyBorder="0" applyAlignment="0" applyProtection="0">
      <alignment vertical="center"/>
    </xf>
    <xf numFmtId="0" fontId="89" fillId="9" borderId="0" applyNumberFormat="0" applyBorder="0" applyAlignment="0" applyProtection="0">
      <alignment vertical="center"/>
    </xf>
    <xf numFmtId="0" fontId="89" fillId="9" borderId="0" applyNumberFormat="0" applyBorder="0" applyAlignment="0" applyProtection="0">
      <alignment vertical="center"/>
    </xf>
    <xf numFmtId="0" fontId="89" fillId="10" borderId="0" applyNumberFormat="0" applyBorder="0" applyAlignment="0" applyProtection="0">
      <alignment vertical="center"/>
    </xf>
    <xf numFmtId="0" fontId="89" fillId="10" borderId="0" applyNumberFormat="0" applyBorder="0" applyAlignment="0" applyProtection="0">
      <alignment vertical="center"/>
    </xf>
    <xf numFmtId="0" fontId="89" fillId="10" borderId="0" applyNumberFormat="0" applyBorder="0" applyAlignment="0" applyProtection="0">
      <alignment vertical="center"/>
    </xf>
    <xf numFmtId="0" fontId="89" fillId="10" borderId="0" applyNumberFormat="0" applyBorder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3" borderId="0" applyNumberFormat="0" applyBorder="0" applyAlignment="0" applyProtection="0">
      <alignment vertical="center"/>
    </xf>
    <xf numFmtId="0" fontId="89" fillId="13" borderId="0" applyNumberFormat="0" applyBorder="0" applyAlignment="0" applyProtection="0">
      <alignment vertical="center"/>
    </xf>
    <xf numFmtId="0" fontId="89" fillId="13" borderId="0" applyNumberFormat="0" applyBorder="0" applyAlignment="0" applyProtection="0">
      <alignment vertical="center"/>
    </xf>
    <xf numFmtId="0" fontId="89" fillId="13" borderId="0" applyNumberFormat="0" applyBorder="0" applyAlignment="0" applyProtection="0">
      <alignment vertical="center"/>
    </xf>
    <xf numFmtId="0" fontId="89" fillId="14" borderId="0" applyNumberFormat="0" applyBorder="0" applyAlignment="0" applyProtection="0">
      <alignment vertical="center"/>
    </xf>
    <xf numFmtId="0" fontId="89" fillId="14" borderId="0" applyNumberFormat="0" applyBorder="0" applyAlignment="0" applyProtection="0">
      <alignment vertical="center"/>
    </xf>
    <xf numFmtId="0" fontId="89" fillId="14" borderId="0" applyNumberFormat="0" applyBorder="0" applyAlignment="0" applyProtection="0">
      <alignment vertical="center"/>
    </xf>
    <xf numFmtId="0" fontId="89" fillId="14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1" borderId="0" applyNumberFormat="0" applyBorder="0" applyAlignment="0" applyProtection="0">
      <alignment vertical="center"/>
    </xf>
    <xf numFmtId="0" fontId="90" fillId="21" borderId="0" applyNumberFormat="0" applyBorder="0" applyAlignment="0" applyProtection="0">
      <alignment vertical="center"/>
    </xf>
    <xf numFmtId="0" fontId="90" fillId="21" borderId="0" applyNumberFormat="0" applyBorder="0" applyAlignment="0" applyProtection="0">
      <alignment vertical="center"/>
    </xf>
    <xf numFmtId="0" fontId="90" fillId="21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27" borderId="3" applyNumberFormat="0" applyAlignment="0" applyProtection="0">
      <alignment vertical="center"/>
    </xf>
    <xf numFmtId="0" fontId="92" fillId="27" borderId="3" applyNumberFormat="0" applyAlignment="0" applyProtection="0">
      <alignment vertical="center"/>
    </xf>
    <xf numFmtId="0" fontId="92" fillId="27" borderId="3" applyNumberFormat="0" applyAlignment="0" applyProtection="0">
      <alignment vertical="center"/>
    </xf>
    <xf numFmtId="0" fontId="92" fillId="27" borderId="3" applyNumberFormat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89" fillId="29" borderId="4" applyNumberFormat="0" applyFont="0" applyAlignment="0" applyProtection="0">
      <alignment vertical="center"/>
    </xf>
    <xf numFmtId="0" fontId="89" fillId="29" borderId="4" applyNumberFormat="0" applyFont="0" applyAlignment="0" applyProtection="0">
      <alignment vertical="center"/>
    </xf>
    <xf numFmtId="0" fontId="89" fillId="29" borderId="4" applyNumberFormat="0" applyFont="0" applyAlignment="0" applyProtection="0">
      <alignment vertical="center"/>
    </xf>
    <xf numFmtId="0" fontId="89" fillId="29" borderId="4" applyNumberFormat="0" applyFont="0" applyAlignment="0" applyProtection="0">
      <alignment vertical="center"/>
    </xf>
    <xf numFmtId="0" fontId="94" fillId="30" borderId="0" applyNumberFormat="0" applyBorder="0" applyAlignment="0" applyProtection="0">
      <alignment vertical="center"/>
    </xf>
    <xf numFmtId="0" fontId="94" fillId="30" borderId="0" applyNumberFormat="0" applyBorder="0" applyAlignment="0" applyProtection="0">
      <alignment vertical="center"/>
    </xf>
    <xf numFmtId="0" fontId="94" fillId="30" borderId="0" applyNumberFormat="0" applyBorder="0" applyAlignment="0" applyProtection="0">
      <alignment vertical="center"/>
    </xf>
    <xf numFmtId="0" fontId="94" fillId="30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31" borderId="5" applyNumberFormat="0" applyAlignment="0" applyProtection="0">
      <alignment vertical="center"/>
    </xf>
    <xf numFmtId="0" fontId="96" fillId="31" borderId="5" applyNumberFormat="0" applyAlignment="0" applyProtection="0">
      <alignment vertical="center"/>
    </xf>
    <xf numFmtId="0" fontId="96" fillId="31" borderId="5" applyNumberFormat="0" applyAlignment="0" applyProtection="0">
      <alignment vertical="center"/>
    </xf>
    <xf numFmtId="0" fontId="96" fillId="31" borderId="5" applyNumberFormat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0" fontId="97" fillId="0" borderId="6" applyNumberFormat="0" applyFill="0" applyAlignment="0" applyProtection="0">
      <alignment vertical="center"/>
    </xf>
    <xf numFmtId="0" fontId="97" fillId="0" borderId="6" applyNumberFormat="0" applyFill="0" applyAlignment="0" applyProtection="0">
      <alignment vertical="center"/>
    </xf>
    <xf numFmtId="0" fontId="97" fillId="0" borderId="6" applyNumberFormat="0" applyFill="0" applyAlignment="0" applyProtection="0">
      <alignment vertical="center"/>
    </xf>
    <xf numFmtId="0" fontId="97" fillId="0" borderId="6" applyNumberFormat="0" applyFill="0" applyAlignment="0" applyProtection="0">
      <alignment vertical="center"/>
    </xf>
    <xf numFmtId="0" fontId="98" fillId="0" borderId="7" applyNumberFormat="0" applyFill="0" applyAlignment="0" applyProtection="0">
      <alignment vertical="center"/>
    </xf>
    <xf numFmtId="0" fontId="98" fillId="0" borderId="7" applyNumberFormat="0" applyFill="0" applyAlignment="0" applyProtection="0">
      <alignment vertical="center"/>
    </xf>
    <xf numFmtId="0" fontId="98" fillId="0" borderId="7" applyNumberFormat="0" applyFill="0" applyAlignment="0" applyProtection="0">
      <alignment vertical="center"/>
    </xf>
    <xf numFmtId="0" fontId="98" fillId="0" borderId="7" applyNumberFormat="0" applyFill="0" applyAlignment="0" applyProtection="0">
      <alignment vertical="center"/>
    </xf>
    <xf numFmtId="0" fontId="99" fillId="32" borderId="3" applyNumberFormat="0" applyAlignment="0" applyProtection="0">
      <alignment vertical="center"/>
    </xf>
    <xf numFmtId="0" fontId="99" fillId="32" borderId="3" applyNumberFormat="0" applyAlignment="0" applyProtection="0">
      <alignment vertical="center"/>
    </xf>
    <xf numFmtId="0" fontId="99" fillId="32" borderId="3" applyNumberFormat="0" applyAlignment="0" applyProtection="0">
      <alignment vertical="center"/>
    </xf>
    <xf numFmtId="0" fontId="99" fillId="32" borderId="3" applyNumberFormat="0" applyAlignment="0" applyProtection="0">
      <alignment vertical="center"/>
    </xf>
    <xf numFmtId="0" fontId="101" fillId="0" borderId="8" applyNumberFormat="0" applyFill="0" applyAlignment="0" applyProtection="0">
      <alignment vertical="center"/>
    </xf>
    <xf numFmtId="0" fontId="101" fillId="0" borderId="8" applyNumberFormat="0" applyFill="0" applyAlignment="0" applyProtection="0">
      <alignment vertical="center"/>
    </xf>
    <xf numFmtId="0" fontId="101" fillId="0" borderId="8" applyNumberFormat="0" applyFill="0" applyAlignment="0" applyProtection="0">
      <alignment vertical="center"/>
    </xf>
    <xf numFmtId="0" fontId="101" fillId="0" borderId="8" applyNumberFormat="0" applyFill="0" applyAlignment="0" applyProtection="0">
      <alignment vertical="center"/>
    </xf>
    <xf numFmtId="0" fontId="102" fillId="0" borderId="9" applyNumberFormat="0" applyFill="0" applyAlignment="0" applyProtection="0">
      <alignment vertical="center"/>
    </xf>
    <xf numFmtId="0" fontId="102" fillId="0" borderId="9" applyNumberFormat="0" applyFill="0" applyAlignment="0" applyProtection="0">
      <alignment vertical="center"/>
    </xf>
    <xf numFmtId="0" fontId="102" fillId="0" borderId="9" applyNumberFormat="0" applyFill="0" applyAlignment="0" applyProtection="0">
      <alignment vertical="center"/>
    </xf>
    <xf numFmtId="0" fontId="102" fillId="0" borderId="9" applyNumberFormat="0" applyFill="0" applyAlignment="0" applyProtection="0">
      <alignment vertical="center"/>
    </xf>
    <xf numFmtId="0" fontId="103" fillId="0" borderId="10" applyNumberFormat="0" applyFill="0" applyAlignment="0" applyProtection="0">
      <alignment vertical="center"/>
    </xf>
    <xf numFmtId="0" fontId="103" fillId="0" borderId="10" applyNumberFormat="0" applyFill="0" applyAlignment="0" applyProtection="0">
      <alignment vertical="center"/>
    </xf>
    <xf numFmtId="0" fontId="103" fillId="0" borderId="10" applyNumberFormat="0" applyFill="0" applyAlignment="0" applyProtection="0">
      <alignment vertical="center"/>
    </xf>
    <xf numFmtId="0" fontId="103" fillId="0" borderId="10" applyNumberFormat="0" applyFill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5" fillId="27" borderId="11" applyNumberFormat="0" applyAlignment="0" applyProtection="0">
      <alignment vertical="center"/>
    </xf>
    <xf numFmtId="0" fontId="105" fillId="27" borderId="11" applyNumberFormat="0" applyAlignment="0" applyProtection="0">
      <alignment vertical="center"/>
    </xf>
    <xf numFmtId="0" fontId="105" fillId="27" borderId="11" applyNumberFormat="0" applyAlignment="0" applyProtection="0">
      <alignment vertical="center"/>
    </xf>
    <xf numFmtId="0" fontId="105" fillId="27" borderId="11" applyNumberFormat="0" applyAlignment="0" applyProtection="0">
      <alignment vertical="center"/>
    </xf>
    <xf numFmtId="0" fontId="87" fillId="0" borderId="0"/>
    <xf numFmtId="0" fontId="89" fillId="0" borderId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8" applyNumberFormat="0" applyFill="0" applyAlignment="0" applyProtection="0">
      <alignment vertical="center"/>
    </xf>
    <xf numFmtId="0" fontId="116" fillId="0" borderId="9" applyNumberFormat="0" applyFill="0" applyAlignment="0" applyProtection="0">
      <alignment vertical="center"/>
    </xf>
    <xf numFmtId="0" fontId="117" fillId="0" borderId="10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20" fillId="30" borderId="0" applyNumberFormat="0" applyBorder="0" applyAlignment="0" applyProtection="0">
      <alignment vertical="center"/>
    </xf>
    <xf numFmtId="0" fontId="121" fillId="32" borderId="3" applyNumberFormat="0" applyAlignment="0" applyProtection="0">
      <alignment vertical="center"/>
    </xf>
    <xf numFmtId="0" fontId="122" fillId="27" borderId="11" applyNumberFormat="0" applyAlignment="0" applyProtection="0">
      <alignment vertical="center"/>
    </xf>
    <xf numFmtId="0" fontId="123" fillId="27" borderId="3" applyNumberFormat="0" applyAlignment="0" applyProtection="0">
      <alignment vertical="center"/>
    </xf>
    <xf numFmtId="0" fontId="124" fillId="0" borderId="6" applyNumberFormat="0" applyFill="0" applyAlignment="0" applyProtection="0">
      <alignment vertical="center"/>
    </xf>
    <xf numFmtId="0" fontId="125" fillId="31" borderId="5" applyNumberFormat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8" fillId="0" borderId="7" applyNumberFormat="0" applyFill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84" fillId="3" borderId="0" applyNumberFormat="0" applyBorder="0" applyAlignment="0" applyProtection="0">
      <alignment vertical="center"/>
    </xf>
    <xf numFmtId="0" fontId="84" fillId="9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22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4" fillId="10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84" fillId="6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129" fillId="18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13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6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14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29" borderId="4" applyNumberFormat="0" applyFont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7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8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29" borderId="4" applyNumberFormat="0" applyFont="0" applyAlignment="0" applyProtection="0">
      <alignment vertical="center"/>
    </xf>
    <xf numFmtId="0" fontId="82" fillId="0" borderId="0">
      <alignment vertical="center"/>
    </xf>
    <xf numFmtId="0" fontId="130" fillId="0" borderId="0" applyNumberFormat="0" applyFill="0" applyBorder="0" applyAlignment="0" applyProtection="0">
      <alignment vertical="center"/>
    </xf>
    <xf numFmtId="0" fontId="82" fillId="29" borderId="4" applyNumberFormat="0" applyFont="0" applyAlignment="0" applyProtection="0">
      <alignment vertical="center"/>
    </xf>
    <xf numFmtId="0" fontId="82" fillId="3" borderId="0" applyNumberFormat="0" applyBorder="0" applyAlignment="0" applyProtection="0">
      <alignment vertical="center"/>
    </xf>
    <xf numFmtId="0" fontId="82" fillId="9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10" borderId="0" applyNumberFormat="0" applyBorder="0" applyAlignment="0" applyProtection="0">
      <alignment vertical="center"/>
    </xf>
    <xf numFmtId="0" fontId="82" fillId="5" borderId="0" applyNumberFormat="0" applyBorder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6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82" fillId="13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29" borderId="4" applyNumberFormat="0" applyFont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29" borderId="4" applyNumberFormat="0" applyFont="0" applyAlignment="0" applyProtection="0">
      <alignment vertical="center"/>
    </xf>
    <xf numFmtId="0" fontId="80" fillId="3" borderId="0" applyNumberFormat="0" applyBorder="0" applyAlignment="0" applyProtection="0">
      <alignment vertical="center"/>
    </xf>
    <xf numFmtId="0" fontId="80" fillId="9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0" fillId="10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7" borderId="0" applyNumberFormat="0" applyBorder="0" applyAlignment="0" applyProtection="0">
      <alignment vertical="center"/>
    </xf>
    <xf numFmtId="0" fontId="80" fillId="13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79" fillId="0" borderId="0">
      <alignment vertical="center"/>
    </xf>
    <xf numFmtId="0" fontId="131" fillId="0" borderId="8" applyNumberFormat="0" applyFill="0" applyAlignment="0" applyProtection="0">
      <alignment vertical="center"/>
    </xf>
    <xf numFmtId="0" fontId="132" fillId="0" borderId="9" applyNumberFormat="0" applyFill="0" applyAlignment="0" applyProtection="0">
      <alignment vertical="center"/>
    </xf>
    <xf numFmtId="0" fontId="133" fillId="0" borderId="10" applyNumberFormat="0" applyFill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33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6" fillId="30" borderId="0" applyNumberFormat="0" applyBorder="0" applyAlignment="0" applyProtection="0">
      <alignment vertical="center"/>
    </xf>
    <xf numFmtId="0" fontId="137" fillId="32" borderId="3" applyNumberFormat="0" applyAlignment="0" applyProtection="0">
      <alignment vertical="center"/>
    </xf>
    <xf numFmtId="0" fontId="138" fillId="27" borderId="11" applyNumberFormat="0" applyAlignment="0" applyProtection="0">
      <alignment vertical="center"/>
    </xf>
    <xf numFmtId="0" fontId="139" fillId="27" borderId="3" applyNumberFormat="0" applyAlignment="0" applyProtection="0">
      <alignment vertical="center"/>
    </xf>
    <xf numFmtId="0" fontId="140" fillId="0" borderId="6" applyNumberFormat="0" applyFill="0" applyAlignment="0" applyProtection="0">
      <alignment vertical="center"/>
    </xf>
    <xf numFmtId="0" fontId="141" fillId="31" borderId="5" applyNumberFormat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9" fillId="29" borderId="4" applyNumberFormat="0" applyFont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144" fillId="0" borderId="7" applyNumberFormat="0" applyFill="0" applyAlignment="0" applyProtection="0">
      <alignment vertical="center"/>
    </xf>
    <xf numFmtId="0" fontId="145" fillId="21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9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22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10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79" fillId="5" borderId="0" applyNumberFormat="0" applyBorder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79" fillId="6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25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3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6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29" borderId="4" applyNumberFormat="0" applyFont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10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13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29" borderId="4" applyNumberFormat="0" applyFont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10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7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29" borderId="4" applyNumberFormat="0" applyFont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29" borderId="4" applyNumberFormat="0" applyFont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5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7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29" borderId="4" applyNumberFormat="0" applyFont="0" applyAlignment="0" applyProtection="0">
      <alignment vertical="center"/>
    </xf>
    <xf numFmtId="0" fontId="74" fillId="3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4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29" borderId="4" applyNumberFormat="0" applyFont="0" applyAlignment="0" applyProtection="0">
      <alignment vertical="center"/>
    </xf>
    <xf numFmtId="0" fontId="73" fillId="3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29" borderId="4" applyNumberFormat="0" applyFont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2" fillId="5" borderId="0" applyNumberFormat="0" applyBorder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8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29" borderId="4" applyNumberFormat="0" applyFont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71" fillId="9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1" fillId="10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29" borderId="4" applyNumberFormat="0" applyFont="0" applyAlignment="0" applyProtection="0">
      <alignment vertical="center"/>
    </xf>
    <xf numFmtId="0" fontId="70" fillId="3" borderId="0" applyNumberFormat="0" applyBorder="0" applyAlignment="0" applyProtection="0">
      <alignment vertical="center"/>
    </xf>
    <xf numFmtId="0" fontId="70" fillId="9" borderId="0" applyNumberFormat="0" applyBorder="0" applyAlignment="0" applyProtection="0">
      <alignment vertical="center"/>
    </xf>
    <xf numFmtId="0" fontId="70" fillId="4" borderId="0" applyNumberFormat="0" applyBorder="0" applyAlignment="0" applyProtection="0">
      <alignment vertical="center"/>
    </xf>
    <xf numFmtId="0" fontId="70" fillId="10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7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8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29" borderId="4" applyNumberFormat="0" applyFont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9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13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29" borderId="4" applyNumberFormat="0" applyFont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9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5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7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8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29" borderId="4" applyNumberFormat="0" applyFont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7" fillId="9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10" borderId="0" applyNumberFormat="0" applyBorder="0" applyAlignment="0" applyProtection="0">
      <alignment vertical="center"/>
    </xf>
    <xf numFmtId="0" fontId="67" fillId="5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7" borderId="0" applyNumberFormat="0" applyBorder="0" applyAlignment="0" applyProtection="0">
      <alignment vertical="center"/>
    </xf>
    <xf numFmtId="0" fontId="67" fillId="13" borderId="0" applyNumberFormat="0" applyBorder="0" applyAlignment="0" applyProtection="0">
      <alignment vertical="center"/>
    </xf>
    <xf numFmtId="0" fontId="67" fillId="8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29" borderId="4" applyNumberFormat="0" applyFont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29" borderId="4" applyNumberFormat="0" applyFont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41" fontId="147" fillId="0" borderId="0" applyFont="0" applyFill="0" applyBorder="0" applyAlignment="0" applyProtection="0">
      <alignment vertical="center"/>
    </xf>
    <xf numFmtId="0" fontId="61" fillId="0" borderId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85" fillId="0" borderId="0">
      <alignment vertical="center"/>
    </xf>
    <xf numFmtId="41" fontId="85" fillId="0" borderId="0" applyFont="0" applyFill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29" borderId="4" applyNumberFormat="0" applyFont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10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13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29" borderId="4" applyNumberFormat="0" applyFont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10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13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29" borderId="4" applyNumberFormat="0" applyFont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29" borderId="4" applyNumberFormat="0" applyFont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29" borderId="4" applyNumberFormat="0" applyFont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29" borderId="4" applyNumberFormat="0" applyFont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29" borderId="4" applyNumberFormat="0" applyFont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29" borderId="4" applyNumberFormat="0" applyFont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29" borderId="4" applyNumberFormat="0" applyFont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9" borderId="4" applyNumberFormat="0" applyFont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29" borderId="4" applyNumberFormat="0" applyFont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29" borderId="4" applyNumberFormat="0" applyFont="0" applyAlignment="0" applyProtection="0">
      <alignment vertical="center"/>
    </xf>
    <xf numFmtId="0" fontId="51" fillId="3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29" borderId="4" applyNumberFormat="0" applyFont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29" borderId="4" applyNumberFormat="0" applyFont="0" applyAlignment="0" applyProtection="0">
      <alignment vertical="center"/>
    </xf>
    <xf numFmtId="0" fontId="49" fillId="3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29" borderId="4" applyNumberFormat="0" applyFont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29" borderId="4" applyNumberFormat="0" applyFont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29" borderId="4" applyNumberFormat="0" applyFont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29" borderId="4" applyNumberFormat="0" applyFont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29" borderId="4" applyNumberFormat="0" applyFont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29" borderId="4" applyNumberFormat="0" applyFon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29" borderId="4" applyNumberFormat="0" applyFont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29" borderId="4" applyNumberFormat="0" applyFont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29" borderId="4" applyNumberFormat="0" applyFont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29" borderId="4" applyNumberFormat="0" applyFont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29" borderId="4" applyNumberFormat="0" applyFont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29" borderId="4" applyNumberFormat="0" applyFont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29" borderId="4" applyNumberFormat="0" applyFon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4" fillId="29" borderId="4" applyNumberFormat="0" applyFont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29" borderId="4" applyNumberFormat="0" applyFon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9" borderId="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9" borderId="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9" borderId="4" applyNumberFormat="0" applyFont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9" borderId="4" applyNumberFormat="0" applyFon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9" borderId="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29" borderId="4" applyNumberFormat="0" applyFon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9" borderId="4" applyNumberFormat="0" applyFont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9" borderId="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9" borderId="4" applyNumberFormat="0" applyFon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9" borderId="4" applyNumberFormat="0" applyFon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9" borderId="4" applyNumberFormat="0" applyFon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9" borderId="4" applyNumberFormat="0" applyFon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9" borderId="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9" borderId="4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0" borderId="0">
      <alignment vertical="center"/>
    </xf>
    <xf numFmtId="0" fontId="150" fillId="30" borderId="0" applyNumberFormat="0" applyBorder="0" applyAlignment="0" applyProtection="0">
      <alignment vertical="center"/>
    </xf>
    <xf numFmtId="0" fontId="12" fillId="29" borderId="4" applyNumberFormat="0" applyFon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9" borderId="4" applyNumberFormat="0" applyFon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9" borderId="4" applyNumberFormat="0" applyFon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29" borderId="4" applyNumberFormat="0" applyFon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9" borderId="4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4" applyNumberFormat="0" applyFon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4" applyNumberFormat="0" applyFon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9" borderId="4" applyNumberFormat="0" applyFon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58" fillId="0" borderId="0"/>
  </cellStyleXfs>
  <cellXfs count="80">
    <xf numFmtId="0" fontId="0" fillId="0" borderId="0" xfId="0">
      <alignment vertical="center"/>
    </xf>
    <xf numFmtId="0" fontId="88" fillId="0" borderId="0" xfId="0" applyFont="1">
      <alignment vertical="center"/>
    </xf>
    <xf numFmtId="0" fontId="107" fillId="0" borderId="0" xfId="0" applyFont="1">
      <alignment vertical="center"/>
    </xf>
    <xf numFmtId="0" fontId="108" fillId="0" borderId="0" xfId="0" applyFont="1">
      <alignment vertical="center"/>
    </xf>
    <xf numFmtId="41" fontId="107" fillId="0" borderId="0" xfId="0" applyNumberFormat="1" applyFont="1">
      <alignment vertical="center"/>
    </xf>
    <xf numFmtId="41" fontId="109" fillId="34" borderId="0" xfId="125" applyFont="1" applyFill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7" fillId="35" borderId="0" xfId="0" applyFont="1" applyFill="1" applyAlignment="1">
      <alignment horizontal="center" vertical="center"/>
    </xf>
    <xf numFmtId="0" fontId="107" fillId="36" borderId="0" xfId="0" applyFont="1" applyFill="1" applyAlignment="1">
      <alignment horizontal="center" vertical="center"/>
    </xf>
    <xf numFmtId="0" fontId="107" fillId="37" borderId="0" xfId="0" applyFont="1" applyFill="1" applyAlignment="1">
      <alignment horizontal="center" vertical="center"/>
    </xf>
    <xf numFmtId="0" fontId="109" fillId="34" borderId="0" xfId="0" applyFont="1" applyFill="1" applyAlignment="1">
      <alignment horizontal="center" vertical="center"/>
    </xf>
    <xf numFmtId="0" fontId="108" fillId="0" borderId="0" xfId="0" applyFont="1" applyAlignment="1">
      <alignment horizontal="center" vertical="center"/>
    </xf>
    <xf numFmtId="49" fontId="109" fillId="34" borderId="0" xfId="0" applyNumberFormat="1" applyFont="1" applyFill="1" applyAlignment="1">
      <alignment horizontal="center" vertical="center"/>
    </xf>
    <xf numFmtId="41" fontId="110" fillId="0" borderId="0" xfId="125" applyFont="1" applyAlignment="1">
      <alignment horizontal="center" vertical="center"/>
    </xf>
    <xf numFmtId="41" fontId="106" fillId="0" borderId="0" xfId="0" applyNumberFormat="1" applyFont="1">
      <alignment vertical="center"/>
    </xf>
    <xf numFmtId="0" fontId="88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0" fontId="148" fillId="0" borderId="0" xfId="0" applyFont="1" applyAlignment="1">
      <alignment horizontal="center" vertical="center"/>
    </xf>
    <xf numFmtId="0" fontId="148" fillId="0" borderId="0" xfId="0" applyFont="1" applyAlignment="1">
      <alignment horizontal="left" vertical="center"/>
    </xf>
    <xf numFmtId="0" fontId="146" fillId="0" borderId="0" xfId="0" applyFont="1" applyAlignment="1">
      <alignment horizontal="left" vertical="center"/>
    </xf>
    <xf numFmtId="0" fontId="111" fillId="0" borderId="1" xfId="0" applyFont="1" applyBorder="1" applyAlignment="1">
      <alignment horizontal="center" vertical="center"/>
    </xf>
    <xf numFmtId="0" fontId="112" fillId="38" borderId="1" xfId="166" applyFont="1" applyFill="1" applyBorder="1" applyAlignment="1">
      <alignment horizontal="right"/>
    </xf>
    <xf numFmtId="0" fontId="112" fillId="38" borderId="1" xfId="0" applyFont="1" applyFill="1" applyBorder="1" applyAlignment="1">
      <alignment horizontal="center" vertical="center"/>
    </xf>
    <xf numFmtId="0" fontId="112" fillId="38" borderId="1" xfId="0" applyFont="1" applyFill="1" applyBorder="1">
      <alignment vertical="center"/>
    </xf>
    <xf numFmtId="0" fontId="113" fillId="2" borderId="2" xfId="0" applyFont="1" applyFill="1" applyBorder="1" applyAlignment="1">
      <alignment horizontal="center" vertical="center"/>
    </xf>
    <xf numFmtId="176" fontId="113" fillId="0" borderId="2" xfId="0" applyNumberFormat="1" applyFont="1" applyBorder="1" applyAlignment="1">
      <alignment horizontal="center" vertical="center"/>
    </xf>
    <xf numFmtId="41" fontId="113" fillId="2" borderId="2" xfId="0" applyNumberFormat="1" applyFont="1" applyFill="1" applyBorder="1" applyAlignment="1">
      <alignment horizontal="center" vertical="center"/>
    </xf>
    <xf numFmtId="41" fontId="151" fillId="38" borderId="0" xfId="125" applyFont="1" applyFill="1">
      <alignment vertical="center"/>
    </xf>
    <xf numFmtId="177" fontId="151" fillId="38" borderId="0" xfId="0" applyNumberFormat="1" applyFont="1" applyFill="1">
      <alignment vertical="center"/>
    </xf>
    <xf numFmtId="0" fontId="152" fillId="0" borderId="0" xfId="0" applyFont="1" applyAlignment="1">
      <alignment horizontal="center" vertical="center"/>
    </xf>
    <xf numFmtId="0" fontId="152" fillId="0" borderId="0" xfId="0" applyFont="1">
      <alignment vertical="center"/>
    </xf>
    <xf numFmtId="0" fontId="106" fillId="0" borderId="0" xfId="0" applyFont="1">
      <alignment vertical="center"/>
    </xf>
    <xf numFmtId="176" fontId="106" fillId="0" borderId="0" xfId="0" applyNumberFormat="1" applyFont="1">
      <alignment vertical="center"/>
    </xf>
    <xf numFmtId="41" fontId="153" fillId="0" borderId="0" xfId="125" applyFont="1">
      <alignment vertical="center"/>
    </xf>
    <xf numFmtId="177" fontId="153" fillId="0" borderId="0" xfId="0" applyNumberFormat="1" applyFont="1">
      <alignment vertical="center"/>
    </xf>
    <xf numFmtId="41" fontId="154" fillId="0" borderId="0" xfId="125" applyFont="1">
      <alignment vertical="center"/>
    </xf>
    <xf numFmtId="41" fontId="155" fillId="0" borderId="0" xfId="125" applyFont="1">
      <alignment vertical="center"/>
    </xf>
    <xf numFmtId="177" fontId="155" fillId="0" borderId="0" xfId="0" applyNumberFormat="1" applyFont="1">
      <alignment vertical="center"/>
    </xf>
    <xf numFmtId="0" fontId="156" fillId="34" borderId="0" xfId="0" applyFont="1" applyFill="1" applyAlignment="1">
      <alignment horizontal="center" vertical="center"/>
    </xf>
    <xf numFmtId="0" fontId="157" fillId="0" borderId="0" xfId="0" applyFont="1" applyAlignment="1">
      <alignment horizontal="center" vertical="center"/>
    </xf>
    <xf numFmtId="1" fontId="106" fillId="0" borderId="0" xfId="0" applyNumberFormat="1" applyFont="1">
      <alignment vertical="center"/>
    </xf>
    <xf numFmtId="0" fontId="158" fillId="0" borderId="0" xfId="0" applyFont="1" applyAlignment="1">
      <alignment horizontal="center"/>
    </xf>
    <xf numFmtId="178" fontId="158" fillId="0" borderId="0" xfId="0" applyNumberFormat="1" applyFont="1" applyAlignment="1">
      <alignment horizontal="right"/>
    </xf>
    <xf numFmtId="0" fontId="0" fillId="39" borderId="0" xfId="0" applyFill="1">
      <alignment vertical="center"/>
    </xf>
    <xf numFmtId="0" fontId="159" fillId="0" borderId="0" xfId="0" applyFont="1">
      <alignment vertical="center"/>
    </xf>
    <xf numFmtId="0" fontId="160" fillId="0" borderId="0" xfId="0" applyFont="1">
      <alignment vertical="center"/>
    </xf>
    <xf numFmtId="0" fontId="161" fillId="0" borderId="0" xfId="0" applyFont="1">
      <alignment vertical="center"/>
    </xf>
    <xf numFmtId="0" fontId="157" fillId="0" borderId="0" xfId="0" applyFont="1" applyAlignment="1">
      <alignment horizontal="left" vertical="center"/>
    </xf>
    <xf numFmtId="0" fontId="162" fillId="0" borderId="0" xfId="0" applyFont="1" applyAlignment="1">
      <alignment horizontal="center" vertical="center"/>
    </xf>
    <xf numFmtId="0" fontId="162" fillId="35" borderId="0" xfId="0" applyFont="1" applyFill="1" applyAlignment="1">
      <alignment horizontal="center" vertical="center"/>
    </xf>
    <xf numFmtId="0" fontId="163" fillId="0" borderId="0" xfId="0" applyFont="1" applyAlignment="1">
      <alignment horizontal="left" vertical="center"/>
    </xf>
    <xf numFmtId="0" fontId="164" fillId="0" borderId="0" xfId="0" applyFont="1" applyAlignment="1">
      <alignment horizontal="left" vertical="center"/>
    </xf>
    <xf numFmtId="41" fontId="166" fillId="0" borderId="0" xfId="125" applyFont="1" applyAlignment="1">
      <alignment horizontal="center" vertical="center"/>
    </xf>
    <xf numFmtId="41" fontId="162" fillId="0" borderId="0" xfId="0" applyNumberFormat="1" applyFont="1">
      <alignment vertical="center"/>
    </xf>
    <xf numFmtId="0" fontId="162" fillId="0" borderId="0" xfId="0" applyFont="1">
      <alignment vertical="center"/>
    </xf>
    <xf numFmtId="0" fontId="165" fillId="0" borderId="0" xfId="0" applyFont="1" applyAlignment="1">
      <alignment horizontal="center" vertical="center"/>
    </xf>
    <xf numFmtId="0" fontId="167" fillId="0" borderId="0" xfId="0" applyFont="1" applyAlignment="1">
      <alignment horizontal="center" vertical="center"/>
    </xf>
    <xf numFmtId="0" fontId="167" fillId="35" borderId="0" xfId="0" applyFont="1" applyFill="1" applyAlignment="1">
      <alignment horizontal="center" vertical="center"/>
    </xf>
    <xf numFmtId="0" fontId="167" fillId="0" borderId="0" xfId="0" applyFont="1" applyAlignment="1">
      <alignment horizontal="left" vertical="center"/>
    </xf>
    <xf numFmtId="0" fontId="168" fillId="0" borderId="0" xfId="0" applyFont="1" applyAlignment="1">
      <alignment horizontal="left" vertical="center"/>
    </xf>
    <xf numFmtId="41" fontId="169" fillId="0" borderId="0" xfId="125" applyFont="1" applyAlignment="1">
      <alignment horizontal="center" vertical="center"/>
    </xf>
    <xf numFmtId="41" fontId="167" fillId="0" borderId="0" xfId="0" applyNumberFormat="1" applyFont="1">
      <alignment vertical="center"/>
    </xf>
    <xf numFmtId="0" fontId="167" fillId="0" borderId="0" xfId="0" applyFont="1">
      <alignment vertical="center"/>
    </xf>
    <xf numFmtId="0" fontId="0" fillId="0" borderId="0" xfId="0" pivotButton="1">
      <alignment vertical="center"/>
    </xf>
    <xf numFmtId="0" fontId="170" fillId="38" borderId="1" xfId="166" applyFont="1" applyFill="1" applyBorder="1" applyAlignment="1">
      <alignment horizontal="right"/>
    </xf>
    <xf numFmtId="0" fontId="170" fillId="38" borderId="1" xfId="0" applyFont="1" applyFill="1" applyBorder="1" applyAlignment="1">
      <alignment horizontal="center" vertical="center"/>
    </xf>
    <xf numFmtId="0" fontId="170" fillId="38" borderId="1" xfId="0" applyFont="1" applyFill="1" applyBorder="1">
      <alignment vertical="center"/>
    </xf>
    <xf numFmtId="0" fontId="171" fillId="0" borderId="0" xfId="0" applyFont="1">
      <alignment vertical="center"/>
    </xf>
    <xf numFmtId="0" fontId="172" fillId="0" borderId="13" xfId="0" applyFont="1" applyBorder="1" applyAlignment="1">
      <alignment horizontal="center" vertical="center" wrapText="1"/>
    </xf>
    <xf numFmtId="3" fontId="172" fillId="0" borderId="13" xfId="0" applyNumberFormat="1" applyFont="1" applyBorder="1" applyAlignment="1">
      <alignment horizontal="center" vertical="center" wrapText="1"/>
    </xf>
    <xf numFmtId="0" fontId="162" fillId="0" borderId="0" xfId="0" applyFont="1" applyAlignment="1">
      <alignment horizontal="left" vertical="center"/>
    </xf>
    <xf numFmtId="41" fontId="113" fillId="0" borderId="0" xfId="125" applyFont="1" applyAlignment="1">
      <alignment horizontal="center" vertical="center"/>
    </xf>
    <xf numFmtId="0" fontId="0" fillId="38" borderId="0" xfId="0" applyFill="1">
      <alignment vertical="center"/>
    </xf>
    <xf numFmtId="0" fontId="167" fillId="38" borderId="0" xfId="0" applyFont="1" applyFill="1">
      <alignment vertical="center"/>
    </xf>
    <xf numFmtId="0" fontId="107" fillId="0" borderId="0" xfId="0" applyFont="1" applyAlignment="1">
      <alignment horizontal="left" vertical="center"/>
    </xf>
    <xf numFmtId="0" fontId="172" fillId="0" borderId="12" xfId="0" applyFont="1" applyBorder="1" applyAlignment="1">
      <alignment horizontal="center" vertical="center" wrapText="1"/>
    </xf>
    <xf numFmtId="0" fontId="172" fillId="0" borderId="12" xfId="0" applyNumberFormat="1" applyFont="1" applyBorder="1" applyAlignment="1">
      <alignment horizontal="center" vertical="center" wrapText="1"/>
    </xf>
    <xf numFmtId="0" fontId="172" fillId="0" borderId="13" xfId="0" applyNumberFormat="1" applyFont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173" fillId="0" borderId="0" xfId="0" applyFont="1">
      <alignment vertical="center"/>
    </xf>
  </cellXfs>
  <cellStyles count="1912">
    <cellStyle name="20% - 강조색1" xfId="185" builtinId="30" customBuiltin="1"/>
    <cellStyle name="20% - 강조색1 10" xfId="285" xr:uid="{00000000-0005-0000-0000-000001000000}"/>
    <cellStyle name="20% - 강조색1 10 2" xfId="878" xr:uid="{00000000-0005-0000-0000-000002000000}"/>
    <cellStyle name="20% - 강조색1 10 3" xfId="596" xr:uid="{00000000-0005-0000-0000-000003000000}"/>
    <cellStyle name="20% - 강조색1 11" xfId="310" xr:uid="{00000000-0005-0000-0000-000004000000}"/>
    <cellStyle name="20% - 강조색1 12" xfId="324" xr:uid="{00000000-0005-0000-0000-000005000000}"/>
    <cellStyle name="20% - 강조색1 12 2" xfId="892" xr:uid="{00000000-0005-0000-0000-000006000000}"/>
    <cellStyle name="20% - 강조색1 12 3" xfId="610" xr:uid="{00000000-0005-0000-0000-000007000000}"/>
    <cellStyle name="20% - 강조색1 13" xfId="338" xr:uid="{00000000-0005-0000-0000-000008000000}"/>
    <cellStyle name="20% - 강조색1 13 2" xfId="906" xr:uid="{00000000-0005-0000-0000-000009000000}"/>
    <cellStyle name="20% - 강조색1 13 3" xfId="624" xr:uid="{00000000-0005-0000-0000-00000A000000}"/>
    <cellStyle name="20% - 강조색1 14" xfId="352" xr:uid="{00000000-0005-0000-0000-00000B000000}"/>
    <cellStyle name="20% - 강조색1 14 2" xfId="920" xr:uid="{00000000-0005-0000-0000-00000C000000}"/>
    <cellStyle name="20% - 강조색1 14 3" xfId="638" xr:uid="{00000000-0005-0000-0000-00000D000000}"/>
    <cellStyle name="20% - 강조색1 15" xfId="366" xr:uid="{00000000-0005-0000-0000-00000E000000}"/>
    <cellStyle name="20% - 강조색1 15 2" xfId="934" xr:uid="{00000000-0005-0000-0000-00000F000000}"/>
    <cellStyle name="20% - 강조색1 15 3" xfId="652" xr:uid="{00000000-0005-0000-0000-000010000000}"/>
    <cellStyle name="20% - 강조색1 16" xfId="380" xr:uid="{00000000-0005-0000-0000-000011000000}"/>
    <cellStyle name="20% - 강조색1 16 2" xfId="948" xr:uid="{00000000-0005-0000-0000-000012000000}"/>
    <cellStyle name="20% - 강조색1 16 3" xfId="666" xr:uid="{00000000-0005-0000-0000-000013000000}"/>
    <cellStyle name="20% - 강조색1 17" xfId="394" xr:uid="{00000000-0005-0000-0000-000014000000}"/>
    <cellStyle name="20% - 강조색1 17 2" xfId="962" xr:uid="{00000000-0005-0000-0000-000015000000}"/>
    <cellStyle name="20% - 강조색1 17 3" xfId="680" xr:uid="{00000000-0005-0000-0000-000016000000}"/>
    <cellStyle name="20% - 강조색1 18" xfId="408" xr:uid="{00000000-0005-0000-0000-000017000000}"/>
    <cellStyle name="20% - 강조색1 18 2" xfId="976" xr:uid="{00000000-0005-0000-0000-000018000000}"/>
    <cellStyle name="20% - 강조색1 18 3" xfId="694" xr:uid="{00000000-0005-0000-0000-000019000000}"/>
    <cellStyle name="20% - 강조색1 19" xfId="422" xr:uid="{00000000-0005-0000-0000-00001A000000}"/>
    <cellStyle name="20% - 강조색1 19 2" xfId="990" xr:uid="{00000000-0005-0000-0000-00001B000000}"/>
    <cellStyle name="20% - 강조색1 19 3" xfId="708" xr:uid="{00000000-0005-0000-0000-00001C000000}"/>
    <cellStyle name="20% - 강조색1 2" xfId="1" xr:uid="{00000000-0005-0000-0000-00001D000000}"/>
    <cellStyle name="20% - 강조색1 20" xfId="436" xr:uid="{00000000-0005-0000-0000-00001E000000}"/>
    <cellStyle name="20% - 강조색1 20 2" xfId="1004" xr:uid="{00000000-0005-0000-0000-00001F000000}"/>
    <cellStyle name="20% - 강조색1 20 3" xfId="722" xr:uid="{00000000-0005-0000-0000-000020000000}"/>
    <cellStyle name="20% - 강조색1 21" xfId="450" xr:uid="{00000000-0005-0000-0000-000021000000}"/>
    <cellStyle name="20% - 강조색1 21 2" xfId="1018" xr:uid="{00000000-0005-0000-0000-000022000000}"/>
    <cellStyle name="20% - 강조색1 21 3" xfId="736" xr:uid="{00000000-0005-0000-0000-000023000000}"/>
    <cellStyle name="20% - 강조색1 22" xfId="464" xr:uid="{00000000-0005-0000-0000-000024000000}"/>
    <cellStyle name="20% - 강조색1 22 2" xfId="1032" xr:uid="{00000000-0005-0000-0000-000025000000}"/>
    <cellStyle name="20% - 강조색1 22 3" xfId="750" xr:uid="{00000000-0005-0000-0000-000026000000}"/>
    <cellStyle name="20% - 강조색1 23" xfId="478" xr:uid="{00000000-0005-0000-0000-000027000000}"/>
    <cellStyle name="20% - 강조색1 23 2" xfId="1046" xr:uid="{00000000-0005-0000-0000-000028000000}"/>
    <cellStyle name="20% - 강조색1 23 3" xfId="764" xr:uid="{00000000-0005-0000-0000-000029000000}"/>
    <cellStyle name="20% - 강조색1 24" xfId="492" xr:uid="{00000000-0005-0000-0000-00002A000000}"/>
    <cellStyle name="20% - 강조색1 24 2" xfId="1060" xr:uid="{00000000-0005-0000-0000-00002B000000}"/>
    <cellStyle name="20% - 강조색1 24 3" xfId="778" xr:uid="{00000000-0005-0000-0000-00002C000000}"/>
    <cellStyle name="20% - 강조색1 25" xfId="508" xr:uid="{00000000-0005-0000-0000-00002D000000}"/>
    <cellStyle name="20% - 강조색1 25 2" xfId="794" xr:uid="{00000000-0005-0000-0000-00002E000000}"/>
    <cellStyle name="20% - 강조색1 26" xfId="806" xr:uid="{00000000-0005-0000-0000-00002F000000}"/>
    <cellStyle name="20% - 강조색1 27" xfId="522" xr:uid="{00000000-0005-0000-0000-000030000000}"/>
    <cellStyle name="20% - 강조색1 28" xfId="1074" xr:uid="{00000000-0005-0000-0000-000031000000}"/>
    <cellStyle name="20% - 강조색1 29" xfId="1088" xr:uid="{00000000-0005-0000-0000-000032000000}"/>
    <cellStyle name="20% - 강조색1 3" xfId="2" xr:uid="{00000000-0005-0000-0000-000033000000}"/>
    <cellStyle name="20% - 강조색1 30" xfId="1102" xr:uid="{00000000-0005-0000-0000-000034000000}"/>
    <cellStyle name="20% - 강조색1 31" xfId="1116" xr:uid="{00000000-0005-0000-0000-000035000000}"/>
    <cellStyle name="20% - 강조색1 32" xfId="1130" xr:uid="{00000000-0005-0000-0000-000036000000}"/>
    <cellStyle name="20% - 강조색1 33" xfId="1144" xr:uid="{00000000-0005-0000-0000-000037000000}"/>
    <cellStyle name="20% - 강조색1 34" xfId="1158" xr:uid="{00000000-0005-0000-0000-000038000000}"/>
    <cellStyle name="20% - 강조색1 35" xfId="1172" xr:uid="{00000000-0005-0000-0000-000039000000}"/>
    <cellStyle name="20% - 강조색1 36" xfId="1186" xr:uid="{00000000-0005-0000-0000-00003A000000}"/>
    <cellStyle name="20% - 강조색1 37" xfId="1200" xr:uid="{00000000-0005-0000-0000-00003B000000}"/>
    <cellStyle name="20% - 강조색1 38" xfId="1214" xr:uid="{00000000-0005-0000-0000-00003C000000}"/>
    <cellStyle name="20% - 강조색1 39" xfId="1228" xr:uid="{00000000-0005-0000-0000-00003D000000}"/>
    <cellStyle name="20% - 강조색1 4" xfId="3" xr:uid="{00000000-0005-0000-0000-00003E000000}"/>
    <cellStyle name="20% - 강조색1 40" xfId="1242" xr:uid="{00000000-0005-0000-0000-00003F000000}"/>
    <cellStyle name="20% - 강조색1 41" xfId="1256" xr:uid="{00000000-0005-0000-0000-000040000000}"/>
    <cellStyle name="20% - 강조색1 42" xfId="1270" xr:uid="{00000000-0005-0000-0000-000041000000}"/>
    <cellStyle name="20% - 강조색1 43" xfId="1284" xr:uid="{00000000-0005-0000-0000-000042000000}"/>
    <cellStyle name="20% - 강조색1 44" xfId="1298" xr:uid="{00000000-0005-0000-0000-000043000000}"/>
    <cellStyle name="20% - 강조색1 45" xfId="1312" xr:uid="{00000000-0005-0000-0000-000044000000}"/>
    <cellStyle name="20% - 강조색1 46" xfId="1326" xr:uid="{00000000-0005-0000-0000-000045000000}"/>
    <cellStyle name="20% - 강조색1 47" xfId="1340" xr:uid="{00000000-0005-0000-0000-000046000000}"/>
    <cellStyle name="20% - 강조색1 48" xfId="1354" xr:uid="{00000000-0005-0000-0000-000047000000}"/>
    <cellStyle name="20% - 강조색1 49" xfId="1368" xr:uid="{00000000-0005-0000-0000-000048000000}"/>
    <cellStyle name="20% - 강조색1 5" xfId="4" xr:uid="{00000000-0005-0000-0000-000049000000}"/>
    <cellStyle name="20% - 강조색1 50" xfId="1382" xr:uid="{00000000-0005-0000-0000-00004A000000}"/>
    <cellStyle name="20% - 강조색1 51" xfId="1396" xr:uid="{00000000-0005-0000-0000-00004B000000}"/>
    <cellStyle name="20% - 강조색1 52" xfId="1410" xr:uid="{00000000-0005-0000-0000-00004C000000}"/>
    <cellStyle name="20% - 강조색1 53" xfId="1425" xr:uid="{00000000-0005-0000-0000-00004D000000}"/>
    <cellStyle name="20% - 강조색1 54" xfId="1439" xr:uid="{00000000-0005-0000-0000-00004E000000}"/>
    <cellStyle name="20% - 강조색1 55" xfId="1453" xr:uid="{00000000-0005-0000-0000-00004F000000}"/>
    <cellStyle name="20% - 강조색1 56" xfId="1467" xr:uid="{00000000-0005-0000-0000-000050000000}"/>
    <cellStyle name="20% - 강조색1 57" xfId="1481" xr:uid="{00000000-0005-0000-0000-000051000000}"/>
    <cellStyle name="20% - 강조색1 58" xfId="1495" xr:uid="{00000000-0005-0000-0000-000052000000}"/>
    <cellStyle name="20% - 강조색1 59" xfId="1509" xr:uid="{00000000-0005-0000-0000-000053000000}"/>
    <cellStyle name="20% - 강조색1 6" xfId="210" xr:uid="{00000000-0005-0000-0000-000054000000}"/>
    <cellStyle name="20% - 강조색1 6 2" xfId="820" xr:uid="{00000000-0005-0000-0000-000055000000}"/>
    <cellStyle name="20% - 강조색1 6 3" xfId="538" xr:uid="{00000000-0005-0000-0000-000056000000}"/>
    <cellStyle name="20% - 강조색1 60" xfId="1523" xr:uid="{00000000-0005-0000-0000-000057000000}"/>
    <cellStyle name="20% - 강조색1 61" xfId="1537" xr:uid="{00000000-0005-0000-0000-000058000000}"/>
    <cellStyle name="20% - 강조색1 62" xfId="1551" xr:uid="{00000000-0005-0000-0000-000059000000}"/>
    <cellStyle name="20% - 강조색1 63" xfId="1565" xr:uid="{00000000-0005-0000-0000-00005A000000}"/>
    <cellStyle name="20% - 강조색1 64" xfId="1579" xr:uid="{00000000-0005-0000-0000-00005B000000}"/>
    <cellStyle name="20% - 강조색1 65" xfId="1593" xr:uid="{00000000-0005-0000-0000-00005C000000}"/>
    <cellStyle name="20% - 강조색1 66" xfId="1607" xr:uid="{00000000-0005-0000-0000-00005D000000}"/>
    <cellStyle name="20% - 강조색1 67" xfId="1621" xr:uid="{00000000-0005-0000-0000-00005E000000}"/>
    <cellStyle name="20% - 강조색1 68" xfId="1635" xr:uid="{00000000-0005-0000-0000-00005F000000}"/>
    <cellStyle name="20% - 강조색1 69" xfId="1649" xr:uid="{00000000-0005-0000-0000-000060000000}"/>
    <cellStyle name="20% - 강조색1 7" xfId="227" xr:uid="{00000000-0005-0000-0000-000061000000}"/>
    <cellStyle name="20% - 강조색1 7 2" xfId="836" xr:uid="{00000000-0005-0000-0000-000062000000}"/>
    <cellStyle name="20% - 강조색1 7 3" xfId="554" xr:uid="{00000000-0005-0000-0000-000063000000}"/>
    <cellStyle name="20% - 강조색1 70" xfId="1663" xr:uid="{00000000-0005-0000-0000-000064000000}"/>
    <cellStyle name="20% - 강조색1 71" xfId="1677" xr:uid="{00000000-0005-0000-0000-000065000000}"/>
    <cellStyle name="20% - 강조색1 72" xfId="1691" xr:uid="{00000000-0005-0000-0000-000066000000}"/>
    <cellStyle name="20% - 강조색1 73" xfId="1705" xr:uid="{00000000-0005-0000-0000-000067000000}"/>
    <cellStyle name="20% - 강조색1 74" xfId="1719" xr:uid="{00000000-0005-0000-0000-000068000000}"/>
    <cellStyle name="20% - 강조색1 75" xfId="1734" xr:uid="{00000000-0005-0000-0000-000069000000}"/>
    <cellStyle name="20% - 강조색1 76" xfId="1754" xr:uid="{00000000-0005-0000-0000-00006A000000}"/>
    <cellStyle name="20% - 강조색1 77" xfId="1774" xr:uid="{00000000-0005-0000-0000-00006B000000}"/>
    <cellStyle name="20% - 강조색1 78" xfId="1795" xr:uid="{00000000-0005-0000-0000-00006C000000}"/>
    <cellStyle name="20% - 강조색1 79" xfId="1815" xr:uid="{00000000-0005-0000-0000-00006D000000}"/>
    <cellStyle name="20% - 강조색1 8" xfId="241" xr:uid="{00000000-0005-0000-0000-00006E000000}"/>
    <cellStyle name="20% - 강조색1 8 2" xfId="850" xr:uid="{00000000-0005-0000-0000-00006F000000}"/>
    <cellStyle name="20% - 강조색1 8 3" xfId="568" xr:uid="{00000000-0005-0000-0000-000070000000}"/>
    <cellStyle name="20% - 강조색1 80" xfId="1829" xr:uid="{00000000-0005-0000-0000-000071000000}"/>
    <cellStyle name="20% - 강조색1 81" xfId="1843" xr:uid="{00000000-0005-0000-0000-000072000000}"/>
    <cellStyle name="20% - 강조색1 82" xfId="1857" xr:uid="{00000000-0005-0000-0000-000073000000}"/>
    <cellStyle name="20% - 강조색1 83" xfId="1871" xr:uid="{00000000-0005-0000-0000-000074000000}"/>
    <cellStyle name="20% - 강조색1 84" xfId="1885" xr:uid="{00000000-0005-0000-0000-000075000000}"/>
    <cellStyle name="20% - 강조색1 85" xfId="1899" xr:uid="{00000000-0005-0000-0000-000076000000}"/>
    <cellStyle name="20% - 강조색1 9" xfId="255" xr:uid="{00000000-0005-0000-0000-000077000000}"/>
    <cellStyle name="20% - 강조색1 9 2" xfId="864" xr:uid="{00000000-0005-0000-0000-000078000000}"/>
    <cellStyle name="20% - 강조색1 9 3" xfId="582" xr:uid="{00000000-0005-0000-0000-000079000000}"/>
    <cellStyle name="20% - 강조색2" xfId="189" builtinId="34" customBuiltin="1"/>
    <cellStyle name="20% - 강조색2 10" xfId="289" xr:uid="{00000000-0005-0000-0000-00007B000000}"/>
    <cellStyle name="20% - 강조색2 10 2" xfId="880" xr:uid="{00000000-0005-0000-0000-00007C000000}"/>
    <cellStyle name="20% - 강조색2 10 3" xfId="598" xr:uid="{00000000-0005-0000-0000-00007D000000}"/>
    <cellStyle name="20% - 강조색2 11" xfId="312" xr:uid="{00000000-0005-0000-0000-00007E000000}"/>
    <cellStyle name="20% - 강조색2 12" xfId="326" xr:uid="{00000000-0005-0000-0000-00007F000000}"/>
    <cellStyle name="20% - 강조색2 12 2" xfId="894" xr:uid="{00000000-0005-0000-0000-000080000000}"/>
    <cellStyle name="20% - 강조색2 12 3" xfId="612" xr:uid="{00000000-0005-0000-0000-000081000000}"/>
    <cellStyle name="20% - 강조색2 13" xfId="340" xr:uid="{00000000-0005-0000-0000-000082000000}"/>
    <cellStyle name="20% - 강조색2 13 2" xfId="908" xr:uid="{00000000-0005-0000-0000-000083000000}"/>
    <cellStyle name="20% - 강조색2 13 3" xfId="626" xr:uid="{00000000-0005-0000-0000-000084000000}"/>
    <cellStyle name="20% - 강조색2 14" xfId="354" xr:uid="{00000000-0005-0000-0000-000085000000}"/>
    <cellStyle name="20% - 강조색2 14 2" xfId="922" xr:uid="{00000000-0005-0000-0000-000086000000}"/>
    <cellStyle name="20% - 강조색2 14 3" xfId="640" xr:uid="{00000000-0005-0000-0000-000087000000}"/>
    <cellStyle name="20% - 강조색2 15" xfId="368" xr:uid="{00000000-0005-0000-0000-000088000000}"/>
    <cellStyle name="20% - 강조색2 15 2" xfId="936" xr:uid="{00000000-0005-0000-0000-000089000000}"/>
    <cellStyle name="20% - 강조색2 15 3" xfId="654" xr:uid="{00000000-0005-0000-0000-00008A000000}"/>
    <cellStyle name="20% - 강조색2 16" xfId="382" xr:uid="{00000000-0005-0000-0000-00008B000000}"/>
    <cellStyle name="20% - 강조색2 16 2" xfId="950" xr:uid="{00000000-0005-0000-0000-00008C000000}"/>
    <cellStyle name="20% - 강조색2 16 3" xfId="668" xr:uid="{00000000-0005-0000-0000-00008D000000}"/>
    <cellStyle name="20% - 강조색2 17" xfId="396" xr:uid="{00000000-0005-0000-0000-00008E000000}"/>
    <cellStyle name="20% - 강조색2 17 2" xfId="964" xr:uid="{00000000-0005-0000-0000-00008F000000}"/>
    <cellStyle name="20% - 강조색2 17 3" xfId="682" xr:uid="{00000000-0005-0000-0000-000090000000}"/>
    <cellStyle name="20% - 강조색2 18" xfId="410" xr:uid="{00000000-0005-0000-0000-000091000000}"/>
    <cellStyle name="20% - 강조색2 18 2" xfId="978" xr:uid="{00000000-0005-0000-0000-000092000000}"/>
    <cellStyle name="20% - 강조색2 18 3" xfId="696" xr:uid="{00000000-0005-0000-0000-000093000000}"/>
    <cellStyle name="20% - 강조색2 19" xfId="424" xr:uid="{00000000-0005-0000-0000-000094000000}"/>
    <cellStyle name="20% - 강조색2 19 2" xfId="992" xr:uid="{00000000-0005-0000-0000-000095000000}"/>
    <cellStyle name="20% - 강조색2 19 3" xfId="710" xr:uid="{00000000-0005-0000-0000-000096000000}"/>
    <cellStyle name="20% - 강조색2 2" xfId="5" xr:uid="{00000000-0005-0000-0000-000097000000}"/>
    <cellStyle name="20% - 강조색2 20" xfId="438" xr:uid="{00000000-0005-0000-0000-000098000000}"/>
    <cellStyle name="20% - 강조색2 20 2" xfId="1006" xr:uid="{00000000-0005-0000-0000-000099000000}"/>
    <cellStyle name="20% - 강조색2 20 3" xfId="724" xr:uid="{00000000-0005-0000-0000-00009A000000}"/>
    <cellStyle name="20% - 강조색2 21" xfId="452" xr:uid="{00000000-0005-0000-0000-00009B000000}"/>
    <cellStyle name="20% - 강조색2 21 2" xfId="1020" xr:uid="{00000000-0005-0000-0000-00009C000000}"/>
    <cellStyle name="20% - 강조색2 21 3" xfId="738" xr:uid="{00000000-0005-0000-0000-00009D000000}"/>
    <cellStyle name="20% - 강조색2 22" xfId="466" xr:uid="{00000000-0005-0000-0000-00009E000000}"/>
    <cellStyle name="20% - 강조색2 22 2" xfId="1034" xr:uid="{00000000-0005-0000-0000-00009F000000}"/>
    <cellStyle name="20% - 강조색2 22 3" xfId="752" xr:uid="{00000000-0005-0000-0000-0000A0000000}"/>
    <cellStyle name="20% - 강조색2 23" xfId="480" xr:uid="{00000000-0005-0000-0000-0000A1000000}"/>
    <cellStyle name="20% - 강조색2 23 2" xfId="1048" xr:uid="{00000000-0005-0000-0000-0000A2000000}"/>
    <cellStyle name="20% - 강조색2 23 3" xfId="766" xr:uid="{00000000-0005-0000-0000-0000A3000000}"/>
    <cellStyle name="20% - 강조색2 24" xfId="494" xr:uid="{00000000-0005-0000-0000-0000A4000000}"/>
    <cellStyle name="20% - 강조색2 24 2" xfId="1062" xr:uid="{00000000-0005-0000-0000-0000A5000000}"/>
    <cellStyle name="20% - 강조색2 24 3" xfId="780" xr:uid="{00000000-0005-0000-0000-0000A6000000}"/>
    <cellStyle name="20% - 강조색2 25" xfId="510" xr:uid="{00000000-0005-0000-0000-0000A7000000}"/>
    <cellStyle name="20% - 강조색2 25 2" xfId="796" xr:uid="{00000000-0005-0000-0000-0000A8000000}"/>
    <cellStyle name="20% - 강조색2 26" xfId="808" xr:uid="{00000000-0005-0000-0000-0000A9000000}"/>
    <cellStyle name="20% - 강조색2 27" xfId="524" xr:uid="{00000000-0005-0000-0000-0000AA000000}"/>
    <cellStyle name="20% - 강조색2 28" xfId="1076" xr:uid="{00000000-0005-0000-0000-0000AB000000}"/>
    <cellStyle name="20% - 강조색2 29" xfId="1090" xr:uid="{00000000-0005-0000-0000-0000AC000000}"/>
    <cellStyle name="20% - 강조색2 3" xfId="6" xr:uid="{00000000-0005-0000-0000-0000AD000000}"/>
    <cellStyle name="20% - 강조색2 30" xfId="1104" xr:uid="{00000000-0005-0000-0000-0000AE000000}"/>
    <cellStyle name="20% - 강조색2 31" xfId="1118" xr:uid="{00000000-0005-0000-0000-0000AF000000}"/>
    <cellStyle name="20% - 강조색2 32" xfId="1132" xr:uid="{00000000-0005-0000-0000-0000B0000000}"/>
    <cellStyle name="20% - 강조색2 33" xfId="1146" xr:uid="{00000000-0005-0000-0000-0000B1000000}"/>
    <cellStyle name="20% - 강조색2 34" xfId="1160" xr:uid="{00000000-0005-0000-0000-0000B2000000}"/>
    <cellStyle name="20% - 강조색2 35" xfId="1174" xr:uid="{00000000-0005-0000-0000-0000B3000000}"/>
    <cellStyle name="20% - 강조색2 36" xfId="1188" xr:uid="{00000000-0005-0000-0000-0000B4000000}"/>
    <cellStyle name="20% - 강조색2 37" xfId="1202" xr:uid="{00000000-0005-0000-0000-0000B5000000}"/>
    <cellStyle name="20% - 강조색2 38" xfId="1216" xr:uid="{00000000-0005-0000-0000-0000B6000000}"/>
    <cellStyle name="20% - 강조색2 39" xfId="1230" xr:uid="{00000000-0005-0000-0000-0000B7000000}"/>
    <cellStyle name="20% - 강조색2 4" xfId="7" xr:uid="{00000000-0005-0000-0000-0000B8000000}"/>
    <cellStyle name="20% - 강조색2 40" xfId="1244" xr:uid="{00000000-0005-0000-0000-0000B9000000}"/>
    <cellStyle name="20% - 강조색2 41" xfId="1258" xr:uid="{00000000-0005-0000-0000-0000BA000000}"/>
    <cellStyle name="20% - 강조색2 42" xfId="1272" xr:uid="{00000000-0005-0000-0000-0000BB000000}"/>
    <cellStyle name="20% - 강조색2 43" xfId="1286" xr:uid="{00000000-0005-0000-0000-0000BC000000}"/>
    <cellStyle name="20% - 강조색2 44" xfId="1300" xr:uid="{00000000-0005-0000-0000-0000BD000000}"/>
    <cellStyle name="20% - 강조색2 45" xfId="1314" xr:uid="{00000000-0005-0000-0000-0000BE000000}"/>
    <cellStyle name="20% - 강조색2 46" xfId="1328" xr:uid="{00000000-0005-0000-0000-0000BF000000}"/>
    <cellStyle name="20% - 강조색2 47" xfId="1342" xr:uid="{00000000-0005-0000-0000-0000C0000000}"/>
    <cellStyle name="20% - 강조색2 48" xfId="1356" xr:uid="{00000000-0005-0000-0000-0000C1000000}"/>
    <cellStyle name="20% - 강조색2 49" xfId="1370" xr:uid="{00000000-0005-0000-0000-0000C2000000}"/>
    <cellStyle name="20% - 강조색2 5" xfId="8" xr:uid="{00000000-0005-0000-0000-0000C3000000}"/>
    <cellStyle name="20% - 강조색2 50" xfId="1384" xr:uid="{00000000-0005-0000-0000-0000C4000000}"/>
    <cellStyle name="20% - 강조색2 51" xfId="1398" xr:uid="{00000000-0005-0000-0000-0000C5000000}"/>
    <cellStyle name="20% - 강조색2 52" xfId="1412" xr:uid="{00000000-0005-0000-0000-0000C6000000}"/>
    <cellStyle name="20% - 강조색2 53" xfId="1427" xr:uid="{00000000-0005-0000-0000-0000C7000000}"/>
    <cellStyle name="20% - 강조색2 54" xfId="1441" xr:uid="{00000000-0005-0000-0000-0000C8000000}"/>
    <cellStyle name="20% - 강조색2 55" xfId="1455" xr:uid="{00000000-0005-0000-0000-0000C9000000}"/>
    <cellStyle name="20% - 강조색2 56" xfId="1469" xr:uid="{00000000-0005-0000-0000-0000CA000000}"/>
    <cellStyle name="20% - 강조색2 57" xfId="1483" xr:uid="{00000000-0005-0000-0000-0000CB000000}"/>
    <cellStyle name="20% - 강조색2 58" xfId="1497" xr:uid="{00000000-0005-0000-0000-0000CC000000}"/>
    <cellStyle name="20% - 강조색2 59" xfId="1511" xr:uid="{00000000-0005-0000-0000-0000CD000000}"/>
    <cellStyle name="20% - 강조색2 6" xfId="212" xr:uid="{00000000-0005-0000-0000-0000CE000000}"/>
    <cellStyle name="20% - 강조색2 6 2" xfId="822" xr:uid="{00000000-0005-0000-0000-0000CF000000}"/>
    <cellStyle name="20% - 강조색2 6 3" xfId="540" xr:uid="{00000000-0005-0000-0000-0000D0000000}"/>
    <cellStyle name="20% - 강조색2 60" xfId="1525" xr:uid="{00000000-0005-0000-0000-0000D1000000}"/>
    <cellStyle name="20% - 강조색2 61" xfId="1539" xr:uid="{00000000-0005-0000-0000-0000D2000000}"/>
    <cellStyle name="20% - 강조색2 62" xfId="1553" xr:uid="{00000000-0005-0000-0000-0000D3000000}"/>
    <cellStyle name="20% - 강조색2 63" xfId="1567" xr:uid="{00000000-0005-0000-0000-0000D4000000}"/>
    <cellStyle name="20% - 강조색2 64" xfId="1581" xr:uid="{00000000-0005-0000-0000-0000D5000000}"/>
    <cellStyle name="20% - 강조색2 65" xfId="1595" xr:uid="{00000000-0005-0000-0000-0000D6000000}"/>
    <cellStyle name="20% - 강조색2 66" xfId="1609" xr:uid="{00000000-0005-0000-0000-0000D7000000}"/>
    <cellStyle name="20% - 강조색2 67" xfId="1623" xr:uid="{00000000-0005-0000-0000-0000D8000000}"/>
    <cellStyle name="20% - 강조색2 68" xfId="1637" xr:uid="{00000000-0005-0000-0000-0000D9000000}"/>
    <cellStyle name="20% - 강조색2 69" xfId="1651" xr:uid="{00000000-0005-0000-0000-0000DA000000}"/>
    <cellStyle name="20% - 강조색2 7" xfId="229" xr:uid="{00000000-0005-0000-0000-0000DB000000}"/>
    <cellStyle name="20% - 강조색2 7 2" xfId="838" xr:uid="{00000000-0005-0000-0000-0000DC000000}"/>
    <cellStyle name="20% - 강조색2 7 3" xfId="556" xr:uid="{00000000-0005-0000-0000-0000DD000000}"/>
    <cellStyle name="20% - 강조색2 70" xfId="1665" xr:uid="{00000000-0005-0000-0000-0000DE000000}"/>
    <cellStyle name="20% - 강조색2 71" xfId="1679" xr:uid="{00000000-0005-0000-0000-0000DF000000}"/>
    <cellStyle name="20% - 강조색2 72" xfId="1693" xr:uid="{00000000-0005-0000-0000-0000E0000000}"/>
    <cellStyle name="20% - 강조색2 73" xfId="1707" xr:uid="{00000000-0005-0000-0000-0000E1000000}"/>
    <cellStyle name="20% - 강조색2 74" xfId="1721" xr:uid="{00000000-0005-0000-0000-0000E2000000}"/>
    <cellStyle name="20% - 강조색2 75" xfId="1737" xr:uid="{00000000-0005-0000-0000-0000E3000000}"/>
    <cellStyle name="20% - 강조색2 76" xfId="1757" xr:uid="{00000000-0005-0000-0000-0000E4000000}"/>
    <cellStyle name="20% - 강조색2 77" xfId="1777" xr:uid="{00000000-0005-0000-0000-0000E5000000}"/>
    <cellStyle name="20% - 강조색2 78" xfId="1798" xr:uid="{00000000-0005-0000-0000-0000E6000000}"/>
    <cellStyle name="20% - 강조색2 79" xfId="1817" xr:uid="{00000000-0005-0000-0000-0000E7000000}"/>
    <cellStyle name="20% - 강조색2 8" xfId="243" xr:uid="{00000000-0005-0000-0000-0000E8000000}"/>
    <cellStyle name="20% - 강조색2 8 2" xfId="852" xr:uid="{00000000-0005-0000-0000-0000E9000000}"/>
    <cellStyle name="20% - 강조색2 8 3" xfId="570" xr:uid="{00000000-0005-0000-0000-0000EA000000}"/>
    <cellStyle name="20% - 강조색2 80" xfId="1831" xr:uid="{00000000-0005-0000-0000-0000EB000000}"/>
    <cellStyle name="20% - 강조색2 81" xfId="1845" xr:uid="{00000000-0005-0000-0000-0000EC000000}"/>
    <cellStyle name="20% - 강조색2 82" xfId="1859" xr:uid="{00000000-0005-0000-0000-0000ED000000}"/>
    <cellStyle name="20% - 강조색2 83" xfId="1873" xr:uid="{00000000-0005-0000-0000-0000EE000000}"/>
    <cellStyle name="20% - 강조색2 84" xfId="1887" xr:uid="{00000000-0005-0000-0000-0000EF000000}"/>
    <cellStyle name="20% - 강조색2 85" xfId="1901" xr:uid="{00000000-0005-0000-0000-0000F0000000}"/>
    <cellStyle name="20% - 강조색2 9" xfId="257" xr:uid="{00000000-0005-0000-0000-0000F1000000}"/>
    <cellStyle name="20% - 강조색2 9 2" xfId="866" xr:uid="{00000000-0005-0000-0000-0000F2000000}"/>
    <cellStyle name="20% - 강조색2 9 3" xfId="584" xr:uid="{00000000-0005-0000-0000-0000F3000000}"/>
    <cellStyle name="20% - 강조색3" xfId="193" builtinId="38" customBuiltin="1"/>
    <cellStyle name="20% - 강조색3 10" xfId="293" xr:uid="{00000000-0005-0000-0000-0000F5000000}"/>
    <cellStyle name="20% - 강조색3 10 2" xfId="882" xr:uid="{00000000-0005-0000-0000-0000F6000000}"/>
    <cellStyle name="20% - 강조색3 10 3" xfId="600" xr:uid="{00000000-0005-0000-0000-0000F7000000}"/>
    <cellStyle name="20% - 강조색3 11" xfId="314" xr:uid="{00000000-0005-0000-0000-0000F8000000}"/>
    <cellStyle name="20% - 강조색3 12" xfId="328" xr:uid="{00000000-0005-0000-0000-0000F9000000}"/>
    <cellStyle name="20% - 강조색3 12 2" xfId="896" xr:uid="{00000000-0005-0000-0000-0000FA000000}"/>
    <cellStyle name="20% - 강조색3 12 3" xfId="614" xr:uid="{00000000-0005-0000-0000-0000FB000000}"/>
    <cellStyle name="20% - 강조색3 13" xfId="342" xr:uid="{00000000-0005-0000-0000-0000FC000000}"/>
    <cellStyle name="20% - 강조색3 13 2" xfId="910" xr:uid="{00000000-0005-0000-0000-0000FD000000}"/>
    <cellStyle name="20% - 강조색3 13 3" xfId="628" xr:uid="{00000000-0005-0000-0000-0000FE000000}"/>
    <cellStyle name="20% - 강조색3 14" xfId="356" xr:uid="{00000000-0005-0000-0000-0000FF000000}"/>
    <cellStyle name="20% - 강조색3 14 2" xfId="924" xr:uid="{00000000-0005-0000-0000-000000010000}"/>
    <cellStyle name="20% - 강조색3 14 3" xfId="642" xr:uid="{00000000-0005-0000-0000-000001010000}"/>
    <cellStyle name="20% - 강조색3 15" xfId="370" xr:uid="{00000000-0005-0000-0000-000002010000}"/>
    <cellStyle name="20% - 강조색3 15 2" xfId="938" xr:uid="{00000000-0005-0000-0000-000003010000}"/>
    <cellStyle name="20% - 강조색3 15 3" xfId="656" xr:uid="{00000000-0005-0000-0000-000004010000}"/>
    <cellStyle name="20% - 강조색3 16" xfId="384" xr:uid="{00000000-0005-0000-0000-000005010000}"/>
    <cellStyle name="20% - 강조색3 16 2" xfId="952" xr:uid="{00000000-0005-0000-0000-000006010000}"/>
    <cellStyle name="20% - 강조색3 16 3" xfId="670" xr:uid="{00000000-0005-0000-0000-000007010000}"/>
    <cellStyle name="20% - 강조색3 17" xfId="398" xr:uid="{00000000-0005-0000-0000-000008010000}"/>
    <cellStyle name="20% - 강조색3 17 2" xfId="966" xr:uid="{00000000-0005-0000-0000-000009010000}"/>
    <cellStyle name="20% - 강조색3 17 3" xfId="684" xr:uid="{00000000-0005-0000-0000-00000A010000}"/>
    <cellStyle name="20% - 강조색3 18" xfId="412" xr:uid="{00000000-0005-0000-0000-00000B010000}"/>
    <cellStyle name="20% - 강조색3 18 2" xfId="980" xr:uid="{00000000-0005-0000-0000-00000C010000}"/>
    <cellStyle name="20% - 강조색3 18 3" xfId="698" xr:uid="{00000000-0005-0000-0000-00000D010000}"/>
    <cellStyle name="20% - 강조색3 19" xfId="426" xr:uid="{00000000-0005-0000-0000-00000E010000}"/>
    <cellStyle name="20% - 강조색3 19 2" xfId="994" xr:uid="{00000000-0005-0000-0000-00000F010000}"/>
    <cellStyle name="20% - 강조색3 19 3" xfId="712" xr:uid="{00000000-0005-0000-0000-000010010000}"/>
    <cellStyle name="20% - 강조색3 2" xfId="9" xr:uid="{00000000-0005-0000-0000-000011010000}"/>
    <cellStyle name="20% - 강조색3 20" xfId="440" xr:uid="{00000000-0005-0000-0000-000012010000}"/>
    <cellStyle name="20% - 강조색3 20 2" xfId="1008" xr:uid="{00000000-0005-0000-0000-000013010000}"/>
    <cellStyle name="20% - 강조색3 20 3" xfId="726" xr:uid="{00000000-0005-0000-0000-000014010000}"/>
    <cellStyle name="20% - 강조색3 21" xfId="454" xr:uid="{00000000-0005-0000-0000-000015010000}"/>
    <cellStyle name="20% - 강조색3 21 2" xfId="1022" xr:uid="{00000000-0005-0000-0000-000016010000}"/>
    <cellStyle name="20% - 강조색3 21 3" xfId="740" xr:uid="{00000000-0005-0000-0000-000017010000}"/>
    <cellStyle name="20% - 강조색3 22" xfId="468" xr:uid="{00000000-0005-0000-0000-000018010000}"/>
    <cellStyle name="20% - 강조색3 22 2" xfId="1036" xr:uid="{00000000-0005-0000-0000-000019010000}"/>
    <cellStyle name="20% - 강조색3 22 3" xfId="754" xr:uid="{00000000-0005-0000-0000-00001A010000}"/>
    <cellStyle name="20% - 강조색3 23" xfId="482" xr:uid="{00000000-0005-0000-0000-00001B010000}"/>
    <cellStyle name="20% - 강조색3 23 2" xfId="1050" xr:uid="{00000000-0005-0000-0000-00001C010000}"/>
    <cellStyle name="20% - 강조색3 23 3" xfId="768" xr:uid="{00000000-0005-0000-0000-00001D010000}"/>
    <cellStyle name="20% - 강조색3 24" xfId="496" xr:uid="{00000000-0005-0000-0000-00001E010000}"/>
    <cellStyle name="20% - 강조색3 24 2" xfId="1064" xr:uid="{00000000-0005-0000-0000-00001F010000}"/>
    <cellStyle name="20% - 강조색3 24 3" xfId="782" xr:uid="{00000000-0005-0000-0000-000020010000}"/>
    <cellStyle name="20% - 강조색3 25" xfId="512" xr:uid="{00000000-0005-0000-0000-000021010000}"/>
    <cellStyle name="20% - 강조색3 25 2" xfId="798" xr:uid="{00000000-0005-0000-0000-000022010000}"/>
    <cellStyle name="20% - 강조색3 26" xfId="810" xr:uid="{00000000-0005-0000-0000-000023010000}"/>
    <cellStyle name="20% - 강조색3 27" xfId="526" xr:uid="{00000000-0005-0000-0000-000024010000}"/>
    <cellStyle name="20% - 강조색3 28" xfId="1078" xr:uid="{00000000-0005-0000-0000-000025010000}"/>
    <cellStyle name="20% - 강조색3 29" xfId="1092" xr:uid="{00000000-0005-0000-0000-000026010000}"/>
    <cellStyle name="20% - 강조색3 3" xfId="10" xr:uid="{00000000-0005-0000-0000-000027010000}"/>
    <cellStyle name="20% - 강조색3 30" xfId="1106" xr:uid="{00000000-0005-0000-0000-000028010000}"/>
    <cellStyle name="20% - 강조색3 31" xfId="1120" xr:uid="{00000000-0005-0000-0000-000029010000}"/>
    <cellStyle name="20% - 강조색3 32" xfId="1134" xr:uid="{00000000-0005-0000-0000-00002A010000}"/>
    <cellStyle name="20% - 강조색3 33" xfId="1148" xr:uid="{00000000-0005-0000-0000-00002B010000}"/>
    <cellStyle name="20% - 강조색3 34" xfId="1162" xr:uid="{00000000-0005-0000-0000-00002C010000}"/>
    <cellStyle name="20% - 강조색3 35" xfId="1176" xr:uid="{00000000-0005-0000-0000-00002D010000}"/>
    <cellStyle name="20% - 강조색3 36" xfId="1190" xr:uid="{00000000-0005-0000-0000-00002E010000}"/>
    <cellStyle name="20% - 강조색3 37" xfId="1204" xr:uid="{00000000-0005-0000-0000-00002F010000}"/>
    <cellStyle name="20% - 강조색3 38" xfId="1218" xr:uid="{00000000-0005-0000-0000-000030010000}"/>
    <cellStyle name="20% - 강조색3 39" xfId="1232" xr:uid="{00000000-0005-0000-0000-000031010000}"/>
    <cellStyle name="20% - 강조색3 4" xfId="11" xr:uid="{00000000-0005-0000-0000-000032010000}"/>
    <cellStyle name="20% - 강조색3 40" xfId="1246" xr:uid="{00000000-0005-0000-0000-000033010000}"/>
    <cellStyle name="20% - 강조색3 41" xfId="1260" xr:uid="{00000000-0005-0000-0000-000034010000}"/>
    <cellStyle name="20% - 강조색3 42" xfId="1274" xr:uid="{00000000-0005-0000-0000-000035010000}"/>
    <cellStyle name="20% - 강조색3 43" xfId="1288" xr:uid="{00000000-0005-0000-0000-000036010000}"/>
    <cellStyle name="20% - 강조색3 44" xfId="1302" xr:uid="{00000000-0005-0000-0000-000037010000}"/>
    <cellStyle name="20% - 강조색3 45" xfId="1316" xr:uid="{00000000-0005-0000-0000-000038010000}"/>
    <cellStyle name="20% - 강조색3 46" xfId="1330" xr:uid="{00000000-0005-0000-0000-000039010000}"/>
    <cellStyle name="20% - 강조색3 47" xfId="1344" xr:uid="{00000000-0005-0000-0000-00003A010000}"/>
    <cellStyle name="20% - 강조색3 48" xfId="1358" xr:uid="{00000000-0005-0000-0000-00003B010000}"/>
    <cellStyle name="20% - 강조색3 49" xfId="1372" xr:uid="{00000000-0005-0000-0000-00003C010000}"/>
    <cellStyle name="20% - 강조색3 5" xfId="12" xr:uid="{00000000-0005-0000-0000-00003D010000}"/>
    <cellStyle name="20% - 강조색3 50" xfId="1386" xr:uid="{00000000-0005-0000-0000-00003E010000}"/>
    <cellStyle name="20% - 강조색3 51" xfId="1400" xr:uid="{00000000-0005-0000-0000-00003F010000}"/>
    <cellStyle name="20% - 강조색3 52" xfId="1414" xr:uid="{00000000-0005-0000-0000-000040010000}"/>
    <cellStyle name="20% - 강조색3 53" xfId="1429" xr:uid="{00000000-0005-0000-0000-000041010000}"/>
    <cellStyle name="20% - 강조색3 54" xfId="1443" xr:uid="{00000000-0005-0000-0000-000042010000}"/>
    <cellStyle name="20% - 강조색3 55" xfId="1457" xr:uid="{00000000-0005-0000-0000-000043010000}"/>
    <cellStyle name="20% - 강조색3 56" xfId="1471" xr:uid="{00000000-0005-0000-0000-000044010000}"/>
    <cellStyle name="20% - 강조색3 57" xfId="1485" xr:uid="{00000000-0005-0000-0000-000045010000}"/>
    <cellStyle name="20% - 강조색3 58" xfId="1499" xr:uid="{00000000-0005-0000-0000-000046010000}"/>
    <cellStyle name="20% - 강조색3 59" xfId="1513" xr:uid="{00000000-0005-0000-0000-000047010000}"/>
    <cellStyle name="20% - 강조색3 6" xfId="214" xr:uid="{00000000-0005-0000-0000-000048010000}"/>
    <cellStyle name="20% - 강조색3 6 2" xfId="824" xr:uid="{00000000-0005-0000-0000-000049010000}"/>
    <cellStyle name="20% - 강조색3 6 3" xfId="542" xr:uid="{00000000-0005-0000-0000-00004A010000}"/>
    <cellStyle name="20% - 강조색3 60" xfId="1527" xr:uid="{00000000-0005-0000-0000-00004B010000}"/>
    <cellStyle name="20% - 강조색3 61" xfId="1541" xr:uid="{00000000-0005-0000-0000-00004C010000}"/>
    <cellStyle name="20% - 강조색3 62" xfId="1555" xr:uid="{00000000-0005-0000-0000-00004D010000}"/>
    <cellStyle name="20% - 강조색3 63" xfId="1569" xr:uid="{00000000-0005-0000-0000-00004E010000}"/>
    <cellStyle name="20% - 강조색3 64" xfId="1583" xr:uid="{00000000-0005-0000-0000-00004F010000}"/>
    <cellStyle name="20% - 강조색3 65" xfId="1597" xr:uid="{00000000-0005-0000-0000-000050010000}"/>
    <cellStyle name="20% - 강조색3 66" xfId="1611" xr:uid="{00000000-0005-0000-0000-000051010000}"/>
    <cellStyle name="20% - 강조색3 67" xfId="1625" xr:uid="{00000000-0005-0000-0000-000052010000}"/>
    <cellStyle name="20% - 강조색3 68" xfId="1639" xr:uid="{00000000-0005-0000-0000-000053010000}"/>
    <cellStyle name="20% - 강조색3 69" xfId="1653" xr:uid="{00000000-0005-0000-0000-000054010000}"/>
    <cellStyle name="20% - 강조색3 7" xfId="231" xr:uid="{00000000-0005-0000-0000-000055010000}"/>
    <cellStyle name="20% - 강조색3 7 2" xfId="840" xr:uid="{00000000-0005-0000-0000-000056010000}"/>
    <cellStyle name="20% - 강조색3 7 3" xfId="558" xr:uid="{00000000-0005-0000-0000-000057010000}"/>
    <cellStyle name="20% - 강조색3 70" xfId="1667" xr:uid="{00000000-0005-0000-0000-000058010000}"/>
    <cellStyle name="20% - 강조색3 71" xfId="1681" xr:uid="{00000000-0005-0000-0000-000059010000}"/>
    <cellStyle name="20% - 강조색3 72" xfId="1695" xr:uid="{00000000-0005-0000-0000-00005A010000}"/>
    <cellStyle name="20% - 강조색3 73" xfId="1709" xr:uid="{00000000-0005-0000-0000-00005B010000}"/>
    <cellStyle name="20% - 강조색3 74" xfId="1723" xr:uid="{00000000-0005-0000-0000-00005C010000}"/>
    <cellStyle name="20% - 강조색3 75" xfId="1740" xr:uid="{00000000-0005-0000-0000-00005D010000}"/>
    <cellStyle name="20% - 강조색3 76" xfId="1760" xr:uid="{00000000-0005-0000-0000-00005E010000}"/>
    <cellStyle name="20% - 강조색3 77" xfId="1780" xr:uid="{00000000-0005-0000-0000-00005F010000}"/>
    <cellStyle name="20% - 강조색3 78" xfId="1801" xr:uid="{00000000-0005-0000-0000-000060010000}"/>
    <cellStyle name="20% - 강조색3 79" xfId="1819" xr:uid="{00000000-0005-0000-0000-000061010000}"/>
    <cellStyle name="20% - 강조색3 8" xfId="245" xr:uid="{00000000-0005-0000-0000-000062010000}"/>
    <cellStyle name="20% - 강조색3 8 2" xfId="854" xr:uid="{00000000-0005-0000-0000-000063010000}"/>
    <cellStyle name="20% - 강조색3 8 3" xfId="572" xr:uid="{00000000-0005-0000-0000-000064010000}"/>
    <cellStyle name="20% - 강조색3 80" xfId="1833" xr:uid="{00000000-0005-0000-0000-000065010000}"/>
    <cellStyle name="20% - 강조색3 81" xfId="1847" xr:uid="{00000000-0005-0000-0000-000066010000}"/>
    <cellStyle name="20% - 강조색3 82" xfId="1861" xr:uid="{00000000-0005-0000-0000-000067010000}"/>
    <cellStyle name="20% - 강조색3 83" xfId="1875" xr:uid="{00000000-0005-0000-0000-000068010000}"/>
    <cellStyle name="20% - 강조색3 84" xfId="1889" xr:uid="{00000000-0005-0000-0000-000069010000}"/>
    <cellStyle name="20% - 강조색3 85" xfId="1903" xr:uid="{00000000-0005-0000-0000-00006A010000}"/>
    <cellStyle name="20% - 강조색3 9" xfId="259" xr:uid="{00000000-0005-0000-0000-00006B010000}"/>
    <cellStyle name="20% - 강조색3 9 2" xfId="868" xr:uid="{00000000-0005-0000-0000-00006C010000}"/>
    <cellStyle name="20% - 강조색3 9 3" xfId="586" xr:uid="{00000000-0005-0000-0000-00006D010000}"/>
    <cellStyle name="20% - 강조색4" xfId="197" builtinId="42" customBuiltin="1"/>
    <cellStyle name="20% - 강조색4 10" xfId="297" xr:uid="{00000000-0005-0000-0000-00006F010000}"/>
    <cellStyle name="20% - 강조색4 10 2" xfId="884" xr:uid="{00000000-0005-0000-0000-000070010000}"/>
    <cellStyle name="20% - 강조색4 10 3" xfId="602" xr:uid="{00000000-0005-0000-0000-000071010000}"/>
    <cellStyle name="20% - 강조색4 11" xfId="316" xr:uid="{00000000-0005-0000-0000-000072010000}"/>
    <cellStyle name="20% - 강조색4 12" xfId="330" xr:uid="{00000000-0005-0000-0000-000073010000}"/>
    <cellStyle name="20% - 강조색4 12 2" xfId="898" xr:uid="{00000000-0005-0000-0000-000074010000}"/>
    <cellStyle name="20% - 강조색4 12 3" xfId="616" xr:uid="{00000000-0005-0000-0000-000075010000}"/>
    <cellStyle name="20% - 강조색4 13" xfId="344" xr:uid="{00000000-0005-0000-0000-000076010000}"/>
    <cellStyle name="20% - 강조색4 13 2" xfId="912" xr:uid="{00000000-0005-0000-0000-000077010000}"/>
    <cellStyle name="20% - 강조색4 13 3" xfId="630" xr:uid="{00000000-0005-0000-0000-000078010000}"/>
    <cellStyle name="20% - 강조색4 14" xfId="358" xr:uid="{00000000-0005-0000-0000-000079010000}"/>
    <cellStyle name="20% - 강조색4 14 2" xfId="926" xr:uid="{00000000-0005-0000-0000-00007A010000}"/>
    <cellStyle name="20% - 강조색4 14 3" xfId="644" xr:uid="{00000000-0005-0000-0000-00007B010000}"/>
    <cellStyle name="20% - 강조색4 15" xfId="372" xr:uid="{00000000-0005-0000-0000-00007C010000}"/>
    <cellStyle name="20% - 강조색4 15 2" xfId="940" xr:uid="{00000000-0005-0000-0000-00007D010000}"/>
    <cellStyle name="20% - 강조색4 15 3" xfId="658" xr:uid="{00000000-0005-0000-0000-00007E010000}"/>
    <cellStyle name="20% - 강조색4 16" xfId="386" xr:uid="{00000000-0005-0000-0000-00007F010000}"/>
    <cellStyle name="20% - 강조색4 16 2" xfId="954" xr:uid="{00000000-0005-0000-0000-000080010000}"/>
    <cellStyle name="20% - 강조색4 16 3" xfId="672" xr:uid="{00000000-0005-0000-0000-000081010000}"/>
    <cellStyle name="20% - 강조색4 17" xfId="400" xr:uid="{00000000-0005-0000-0000-000082010000}"/>
    <cellStyle name="20% - 강조색4 17 2" xfId="968" xr:uid="{00000000-0005-0000-0000-000083010000}"/>
    <cellStyle name="20% - 강조색4 17 3" xfId="686" xr:uid="{00000000-0005-0000-0000-000084010000}"/>
    <cellStyle name="20% - 강조색4 18" xfId="414" xr:uid="{00000000-0005-0000-0000-000085010000}"/>
    <cellStyle name="20% - 강조색4 18 2" xfId="982" xr:uid="{00000000-0005-0000-0000-000086010000}"/>
    <cellStyle name="20% - 강조색4 18 3" xfId="700" xr:uid="{00000000-0005-0000-0000-000087010000}"/>
    <cellStyle name="20% - 강조색4 19" xfId="428" xr:uid="{00000000-0005-0000-0000-000088010000}"/>
    <cellStyle name="20% - 강조색4 19 2" xfId="996" xr:uid="{00000000-0005-0000-0000-000089010000}"/>
    <cellStyle name="20% - 강조색4 19 3" xfId="714" xr:uid="{00000000-0005-0000-0000-00008A010000}"/>
    <cellStyle name="20% - 강조색4 2" xfId="13" xr:uid="{00000000-0005-0000-0000-00008B010000}"/>
    <cellStyle name="20% - 강조색4 20" xfId="442" xr:uid="{00000000-0005-0000-0000-00008C010000}"/>
    <cellStyle name="20% - 강조색4 20 2" xfId="1010" xr:uid="{00000000-0005-0000-0000-00008D010000}"/>
    <cellStyle name="20% - 강조색4 20 3" xfId="728" xr:uid="{00000000-0005-0000-0000-00008E010000}"/>
    <cellStyle name="20% - 강조색4 21" xfId="456" xr:uid="{00000000-0005-0000-0000-00008F010000}"/>
    <cellStyle name="20% - 강조색4 21 2" xfId="1024" xr:uid="{00000000-0005-0000-0000-000090010000}"/>
    <cellStyle name="20% - 강조색4 21 3" xfId="742" xr:uid="{00000000-0005-0000-0000-000091010000}"/>
    <cellStyle name="20% - 강조색4 22" xfId="470" xr:uid="{00000000-0005-0000-0000-000092010000}"/>
    <cellStyle name="20% - 강조색4 22 2" xfId="1038" xr:uid="{00000000-0005-0000-0000-000093010000}"/>
    <cellStyle name="20% - 강조색4 22 3" xfId="756" xr:uid="{00000000-0005-0000-0000-000094010000}"/>
    <cellStyle name="20% - 강조색4 23" xfId="484" xr:uid="{00000000-0005-0000-0000-000095010000}"/>
    <cellStyle name="20% - 강조색4 23 2" xfId="1052" xr:uid="{00000000-0005-0000-0000-000096010000}"/>
    <cellStyle name="20% - 강조색4 23 3" xfId="770" xr:uid="{00000000-0005-0000-0000-000097010000}"/>
    <cellStyle name="20% - 강조색4 24" xfId="498" xr:uid="{00000000-0005-0000-0000-000098010000}"/>
    <cellStyle name="20% - 강조색4 24 2" xfId="1066" xr:uid="{00000000-0005-0000-0000-000099010000}"/>
    <cellStyle name="20% - 강조색4 24 3" xfId="784" xr:uid="{00000000-0005-0000-0000-00009A010000}"/>
    <cellStyle name="20% - 강조색4 25" xfId="514" xr:uid="{00000000-0005-0000-0000-00009B010000}"/>
    <cellStyle name="20% - 강조색4 25 2" xfId="800" xr:uid="{00000000-0005-0000-0000-00009C010000}"/>
    <cellStyle name="20% - 강조색4 26" xfId="812" xr:uid="{00000000-0005-0000-0000-00009D010000}"/>
    <cellStyle name="20% - 강조색4 27" xfId="528" xr:uid="{00000000-0005-0000-0000-00009E010000}"/>
    <cellStyle name="20% - 강조색4 28" xfId="1080" xr:uid="{00000000-0005-0000-0000-00009F010000}"/>
    <cellStyle name="20% - 강조색4 29" xfId="1094" xr:uid="{00000000-0005-0000-0000-0000A0010000}"/>
    <cellStyle name="20% - 강조색4 3" xfId="14" xr:uid="{00000000-0005-0000-0000-0000A1010000}"/>
    <cellStyle name="20% - 강조색4 30" xfId="1108" xr:uid="{00000000-0005-0000-0000-0000A2010000}"/>
    <cellStyle name="20% - 강조색4 31" xfId="1122" xr:uid="{00000000-0005-0000-0000-0000A3010000}"/>
    <cellStyle name="20% - 강조색4 32" xfId="1136" xr:uid="{00000000-0005-0000-0000-0000A4010000}"/>
    <cellStyle name="20% - 강조색4 33" xfId="1150" xr:uid="{00000000-0005-0000-0000-0000A5010000}"/>
    <cellStyle name="20% - 강조색4 34" xfId="1164" xr:uid="{00000000-0005-0000-0000-0000A6010000}"/>
    <cellStyle name="20% - 강조색4 35" xfId="1178" xr:uid="{00000000-0005-0000-0000-0000A7010000}"/>
    <cellStyle name="20% - 강조색4 36" xfId="1192" xr:uid="{00000000-0005-0000-0000-0000A8010000}"/>
    <cellStyle name="20% - 강조색4 37" xfId="1206" xr:uid="{00000000-0005-0000-0000-0000A9010000}"/>
    <cellStyle name="20% - 강조색4 38" xfId="1220" xr:uid="{00000000-0005-0000-0000-0000AA010000}"/>
    <cellStyle name="20% - 강조색4 39" xfId="1234" xr:uid="{00000000-0005-0000-0000-0000AB010000}"/>
    <cellStyle name="20% - 강조색4 4" xfId="15" xr:uid="{00000000-0005-0000-0000-0000AC010000}"/>
    <cellStyle name="20% - 강조색4 40" xfId="1248" xr:uid="{00000000-0005-0000-0000-0000AD010000}"/>
    <cellStyle name="20% - 강조색4 41" xfId="1262" xr:uid="{00000000-0005-0000-0000-0000AE010000}"/>
    <cellStyle name="20% - 강조색4 42" xfId="1276" xr:uid="{00000000-0005-0000-0000-0000AF010000}"/>
    <cellStyle name="20% - 강조색4 43" xfId="1290" xr:uid="{00000000-0005-0000-0000-0000B0010000}"/>
    <cellStyle name="20% - 강조색4 44" xfId="1304" xr:uid="{00000000-0005-0000-0000-0000B1010000}"/>
    <cellStyle name="20% - 강조색4 45" xfId="1318" xr:uid="{00000000-0005-0000-0000-0000B2010000}"/>
    <cellStyle name="20% - 강조색4 46" xfId="1332" xr:uid="{00000000-0005-0000-0000-0000B3010000}"/>
    <cellStyle name="20% - 강조색4 47" xfId="1346" xr:uid="{00000000-0005-0000-0000-0000B4010000}"/>
    <cellStyle name="20% - 강조색4 48" xfId="1360" xr:uid="{00000000-0005-0000-0000-0000B5010000}"/>
    <cellStyle name="20% - 강조색4 49" xfId="1374" xr:uid="{00000000-0005-0000-0000-0000B6010000}"/>
    <cellStyle name="20% - 강조색4 5" xfId="16" xr:uid="{00000000-0005-0000-0000-0000B7010000}"/>
    <cellStyle name="20% - 강조색4 50" xfId="1388" xr:uid="{00000000-0005-0000-0000-0000B8010000}"/>
    <cellStyle name="20% - 강조색4 51" xfId="1402" xr:uid="{00000000-0005-0000-0000-0000B9010000}"/>
    <cellStyle name="20% - 강조색4 52" xfId="1416" xr:uid="{00000000-0005-0000-0000-0000BA010000}"/>
    <cellStyle name="20% - 강조색4 53" xfId="1431" xr:uid="{00000000-0005-0000-0000-0000BB010000}"/>
    <cellStyle name="20% - 강조색4 54" xfId="1445" xr:uid="{00000000-0005-0000-0000-0000BC010000}"/>
    <cellStyle name="20% - 강조색4 55" xfId="1459" xr:uid="{00000000-0005-0000-0000-0000BD010000}"/>
    <cellStyle name="20% - 강조색4 56" xfId="1473" xr:uid="{00000000-0005-0000-0000-0000BE010000}"/>
    <cellStyle name="20% - 강조색4 57" xfId="1487" xr:uid="{00000000-0005-0000-0000-0000BF010000}"/>
    <cellStyle name="20% - 강조색4 58" xfId="1501" xr:uid="{00000000-0005-0000-0000-0000C0010000}"/>
    <cellStyle name="20% - 강조색4 59" xfId="1515" xr:uid="{00000000-0005-0000-0000-0000C1010000}"/>
    <cellStyle name="20% - 강조색4 6" xfId="216" xr:uid="{00000000-0005-0000-0000-0000C2010000}"/>
    <cellStyle name="20% - 강조색4 6 2" xfId="826" xr:uid="{00000000-0005-0000-0000-0000C3010000}"/>
    <cellStyle name="20% - 강조색4 6 3" xfId="544" xr:uid="{00000000-0005-0000-0000-0000C4010000}"/>
    <cellStyle name="20% - 강조색4 60" xfId="1529" xr:uid="{00000000-0005-0000-0000-0000C5010000}"/>
    <cellStyle name="20% - 강조색4 61" xfId="1543" xr:uid="{00000000-0005-0000-0000-0000C6010000}"/>
    <cellStyle name="20% - 강조색4 62" xfId="1557" xr:uid="{00000000-0005-0000-0000-0000C7010000}"/>
    <cellStyle name="20% - 강조색4 63" xfId="1571" xr:uid="{00000000-0005-0000-0000-0000C8010000}"/>
    <cellStyle name="20% - 강조색4 64" xfId="1585" xr:uid="{00000000-0005-0000-0000-0000C9010000}"/>
    <cellStyle name="20% - 강조색4 65" xfId="1599" xr:uid="{00000000-0005-0000-0000-0000CA010000}"/>
    <cellStyle name="20% - 강조색4 66" xfId="1613" xr:uid="{00000000-0005-0000-0000-0000CB010000}"/>
    <cellStyle name="20% - 강조색4 67" xfId="1627" xr:uid="{00000000-0005-0000-0000-0000CC010000}"/>
    <cellStyle name="20% - 강조색4 68" xfId="1641" xr:uid="{00000000-0005-0000-0000-0000CD010000}"/>
    <cellStyle name="20% - 강조색4 69" xfId="1655" xr:uid="{00000000-0005-0000-0000-0000CE010000}"/>
    <cellStyle name="20% - 강조색4 7" xfId="233" xr:uid="{00000000-0005-0000-0000-0000CF010000}"/>
    <cellStyle name="20% - 강조색4 7 2" xfId="842" xr:uid="{00000000-0005-0000-0000-0000D0010000}"/>
    <cellStyle name="20% - 강조색4 7 3" xfId="560" xr:uid="{00000000-0005-0000-0000-0000D1010000}"/>
    <cellStyle name="20% - 강조색4 70" xfId="1669" xr:uid="{00000000-0005-0000-0000-0000D2010000}"/>
    <cellStyle name="20% - 강조색4 71" xfId="1683" xr:uid="{00000000-0005-0000-0000-0000D3010000}"/>
    <cellStyle name="20% - 강조색4 72" xfId="1697" xr:uid="{00000000-0005-0000-0000-0000D4010000}"/>
    <cellStyle name="20% - 강조색4 73" xfId="1711" xr:uid="{00000000-0005-0000-0000-0000D5010000}"/>
    <cellStyle name="20% - 강조색4 74" xfId="1725" xr:uid="{00000000-0005-0000-0000-0000D6010000}"/>
    <cellStyle name="20% - 강조색4 75" xfId="1743" xr:uid="{00000000-0005-0000-0000-0000D7010000}"/>
    <cellStyle name="20% - 강조색4 76" xfId="1763" xr:uid="{00000000-0005-0000-0000-0000D8010000}"/>
    <cellStyle name="20% - 강조색4 77" xfId="1783" xr:uid="{00000000-0005-0000-0000-0000D9010000}"/>
    <cellStyle name="20% - 강조색4 78" xfId="1804" xr:uid="{00000000-0005-0000-0000-0000DA010000}"/>
    <cellStyle name="20% - 강조색4 79" xfId="1821" xr:uid="{00000000-0005-0000-0000-0000DB010000}"/>
    <cellStyle name="20% - 강조색4 8" xfId="247" xr:uid="{00000000-0005-0000-0000-0000DC010000}"/>
    <cellStyle name="20% - 강조색4 8 2" xfId="856" xr:uid="{00000000-0005-0000-0000-0000DD010000}"/>
    <cellStyle name="20% - 강조색4 8 3" xfId="574" xr:uid="{00000000-0005-0000-0000-0000DE010000}"/>
    <cellStyle name="20% - 강조색4 80" xfId="1835" xr:uid="{00000000-0005-0000-0000-0000DF010000}"/>
    <cellStyle name="20% - 강조색4 81" xfId="1849" xr:uid="{00000000-0005-0000-0000-0000E0010000}"/>
    <cellStyle name="20% - 강조색4 82" xfId="1863" xr:uid="{00000000-0005-0000-0000-0000E1010000}"/>
    <cellStyle name="20% - 강조색4 83" xfId="1877" xr:uid="{00000000-0005-0000-0000-0000E2010000}"/>
    <cellStyle name="20% - 강조색4 84" xfId="1891" xr:uid="{00000000-0005-0000-0000-0000E3010000}"/>
    <cellStyle name="20% - 강조색4 85" xfId="1905" xr:uid="{00000000-0005-0000-0000-0000E4010000}"/>
    <cellStyle name="20% - 강조색4 9" xfId="261" xr:uid="{00000000-0005-0000-0000-0000E5010000}"/>
    <cellStyle name="20% - 강조색4 9 2" xfId="870" xr:uid="{00000000-0005-0000-0000-0000E6010000}"/>
    <cellStyle name="20% - 강조색4 9 3" xfId="588" xr:uid="{00000000-0005-0000-0000-0000E7010000}"/>
    <cellStyle name="20% - 강조색5" xfId="201" builtinId="46" customBuiltin="1"/>
    <cellStyle name="20% - 강조색5 10" xfId="301" xr:uid="{00000000-0005-0000-0000-0000E9010000}"/>
    <cellStyle name="20% - 강조색5 10 2" xfId="886" xr:uid="{00000000-0005-0000-0000-0000EA010000}"/>
    <cellStyle name="20% - 강조색5 10 3" xfId="604" xr:uid="{00000000-0005-0000-0000-0000EB010000}"/>
    <cellStyle name="20% - 강조색5 11" xfId="318" xr:uid="{00000000-0005-0000-0000-0000EC010000}"/>
    <cellStyle name="20% - 강조색5 12" xfId="332" xr:uid="{00000000-0005-0000-0000-0000ED010000}"/>
    <cellStyle name="20% - 강조색5 12 2" xfId="900" xr:uid="{00000000-0005-0000-0000-0000EE010000}"/>
    <cellStyle name="20% - 강조색5 12 3" xfId="618" xr:uid="{00000000-0005-0000-0000-0000EF010000}"/>
    <cellStyle name="20% - 강조색5 13" xfId="346" xr:uid="{00000000-0005-0000-0000-0000F0010000}"/>
    <cellStyle name="20% - 강조색5 13 2" xfId="914" xr:uid="{00000000-0005-0000-0000-0000F1010000}"/>
    <cellStyle name="20% - 강조색5 13 3" xfId="632" xr:uid="{00000000-0005-0000-0000-0000F2010000}"/>
    <cellStyle name="20% - 강조색5 14" xfId="360" xr:uid="{00000000-0005-0000-0000-0000F3010000}"/>
    <cellStyle name="20% - 강조색5 14 2" xfId="928" xr:uid="{00000000-0005-0000-0000-0000F4010000}"/>
    <cellStyle name="20% - 강조색5 14 3" xfId="646" xr:uid="{00000000-0005-0000-0000-0000F5010000}"/>
    <cellStyle name="20% - 강조색5 15" xfId="374" xr:uid="{00000000-0005-0000-0000-0000F6010000}"/>
    <cellStyle name="20% - 강조색5 15 2" xfId="942" xr:uid="{00000000-0005-0000-0000-0000F7010000}"/>
    <cellStyle name="20% - 강조색5 15 3" xfId="660" xr:uid="{00000000-0005-0000-0000-0000F8010000}"/>
    <cellStyle name="20% - 강조색5 16" xfId="388" xr:uid="{00000000-0005-0000-0000-0000F9010000}"/>
    <cellStyle name="20% - 강조색5 16 2" xfId="956" xr:uid="{00000000-0005-0000-0000-0000FA010000}"/>
    <cellStyle name="20% - 강조색5 16 3" xfId="674" xr:uid="{00000000-0005-0000-0000-0000FB010000}"/>
    <cellStyle name="20% - 강조색5 17" xfId="402" xr:uid="{00000000-0005-0000-0000-0000FC010000}"/>
    <cellStyle name="20% - 강조색5 17 2" xfId="970" xr:uid="{00000000-0005-0000-0000-0000FD010000}"/>
    <cellStyle name="20% - 강조색5 17 3" xfId="688" xr:uid="{00000000-0005-0000-0000-0000FE010000}"/>
    <cellStyle name="20% - 강조색5 18" xfId="416" xr:uid="{00000000-0005-0000-0000-0000FF010000}"/>
    <cellStyle name="20% - 강조색5 18 2" xfId="984" xr:uid="{00000000-0005-0000-0000-000000020000}"/>
    <cellStyle name="20% - 강조색5 18 3" xfId="702" xr:uid="{00000000-0005-0000-0000-000001020000}"/>
    <cellStyle name="20% - 강조색5 19" xfId="430" xr:uid="{00000000-0005-0000-0000-000002020000}"/>
    <cellStyle name="20% - 강조색5 19 2" xfId="998" xr:uid="{00000000-0005-0000-0000-000003020000}"/>
    <cellStyle name="20% - 강조색5 19 3" xfId="716" xr:uid="{00000000-0005-0000-0000-000004020000}"/>
    <cellStyle name="20% - 강조색5 2" xfId="17" xr:uid="{00000000-0005-0000-0000-000005020000}"/>
    <cellStyle name="20% - 강조색5 20" xfId="444" xr:uid="{00000000-0005-0000-0000-000006020000}"/>
    <cellStyle name="20% - 강조색5 20 2" xfId="1012" xr:uid="{00000000-0005-0000-0000-000007020000}"/>
    <cellStyle name="20% - 강조색5 20 3" xfId="730" xr:uid="{00000000-0005-0000-0000-000008020000}"/>
    <cellStyle name="20% - 강조색5 21" xfId="458" xr:uid="{00000000-0005-0000-0000-000009020000}"/>
    <cellStyle name="20% - 강조색5 21 2" xfId="1026" xr:uid="{00000000-0005-0000-0000-00000A020000}"/>
    <cellStyle name="20% - 강조색5 21 3" xfId="744" xr:uid="{00000000-0005-0000-0000-00000B020000}"/>
    <cellStyle name="20% - 강조색5 22" xfId="472" xr:uid="{00000000-0005-0000-0000-00000C020000}"/>
    <cellStyle name="20% - 강조색5 22 2" xfId="1040" xr:uid="{00000000-0005-0000-0000-00000D020000}"/>
    <cellStyle name="20% - 강조색5 22 3" xfId="758" xr:uid="{00000000-0005-0000-0000-00000E020000}"/>
    <cellStyle name="20% - 강조색5 23" xfId="486" xr:uid="{00000000-0005-0000-0000-00000F020000}"/>
    <cellStyle name="20% - 강조색5 23 2" xfId="1054" xr:uid="{00000000-0005-0000-0000-000010020000}"/>
    <cellStyle name="20% - 강조색5 23 3" xfId="772" xr:uid="{00000000-0005-0000-0000-000011020000}"/>
    <cellStyle name="20% - 강조색5 24" xfId="500" xr:uid="{00000000-0005-0000-0000-000012020000}"/>
    <cellStyle name="20% - 강조색5 24 2" xfId="1068" xr:uid="{00000000-0005-0000-0000-000013020000}"/>
    <cellStyle name="20% - 강조색5 24 3" xfId="786" xr:uid="{00000000-0005-0000-0000-000014020000}"/>
    <cellStyle name="20% - 강조색5 25" xfId="516" xr:uid="{00000000-0005-0000-0000-000015020000}"/>
    <cellStyle name="20% - 강조색5 25 2" xfId="802" xr:uid="{00000000-0005-0000-0000-000016020000}"/>
    <cellStyle name="20% - 강조색5 26" xfId="814" xr:uid="{00000000-0005-0000-0000-000017020000}"/>
    <cellStyle name="20% - 강조색5 27" xfId="530" xr:uid="{00000000-0005-0000-0000-000018020000}"/>
    <cellStyle name="20% - 강조색5 28" xfId="1082" xr:uid="{00000000-0005-0000-0000-000019020000}"/>
    <cellStyle name="20% - 강조색5 29" xfId="1096" xr:uid="{00000000-0005-0000-0000-00001A020000}"/>
    <cellStyle name="20% - 강조색5 3" xfId="18" xr:uid="{00000000-0005-0000-0000-00001B020000}"/>
    <cellStyle name="20% - 강조색5 30" xfId="1110" xr:uid="{00000000-0005-0000-0000-00001C020000}"/>
    <cellStyle name="20% - 강조색5 31" xfId="1124" xr:uid="{00000000-0005-0000-0000-00001D020000}"/>
    <cellStyle name="20% - 강조색5 32" xfId="1138" xr:uid="{00000000-0005-0000-0000-00001E020000}"/>
    <cellStyle name="20% - 강조색5 33" xfId="1152" xr:uid="{00000000-0005-0000-0000-00001F020000}"/>
    <cellStyle name="20% - 강조색5 34" xfId="1166" xr:uid="{00000000-0005-0000-0000-000020020000}"/>
    <cellStyle name="20% - 강조색5 35" xfId="1180" xr:uid="{00000000-0005-0000-0000-000021020000}"/>
    <cellStyle name="20% - 강조색5 36" xfId="1194" xr:uid="{00000000-0005-0000-0000-000022020000}"/>
    <cellStyle name="20% - 강조색5 37" xfId="1208" xr:uid="{00000000-0005-0000-0000-000023020000}"/>
    <cellStyle name="20% - 강조색5 38" xfId="1222" xr:uid="{00000000-0005-0000-0000-000024020000}"/>
    <cellStyle name="20% - 강조색5 39" xfId="1236" xr:uid="{00000000-0005-0000-0000-000025020000}"/>
    <cellStyle name="20% - 강조색5 4" xfId="19" xr:uid="{00000000-0005-0000-0000-000026020000}"/>
    <cellStyle name="20% - 강조색5 40" xfId="1250" xr:uid="{00000000-0005-0000-0000-000027020000}"/>
    <cellStyle name="20% - 강조색5 41" xfId="1264" xr:uid="{00000000-0005-0000-0000-000028020000}"/>
    <cellStyle name="20% - 강조색5 42" xfId="1278" xr:uid="{00000000-0005-0000-0000-000029020000}"/>
    <cellStyle name="20% - 강조색5 43" xfId="1292" xr:uid="{00000000-0005-0000-0000-00002A020000}"/>
    <cellStyle name="20% - 강조색5 44" xfId="1306" xr:uid="{00000000-0005-0000-0000-00002B020000}"/>
    <cellStyle name="20% - 강조색5 45" xfId="1320" xr:uid="{00000000-0005-0000-0000-00002C020000}"/>
    <cellStyle name="20% - 강조색5 46" xfId="1334" xr:uid="{00000000-0005-0000-0000-00002D020000}"/>
    <cellStyle name="20% - 강조색5 47" xfId="1348" xr:uid="{00000000-0005-0000-0000-00002E020000}"/>
    <cellStyle name="20% - 강조색5 48" xfId="1362" xr:uid="{00000000-0005-0000-0000-00002F020000}"/>
    <cellStyle name="20% - 강조색5 49" xfId="1376" xr:uid="{00000000-0005-0000-0000-000030020000}"/>
    <cellStyle name="20% - 강조색5 5" xfId="20" xr:uid="{00000000-0005-0000-0000-000031020000}"/>
    <cellStyle name="20% - 강조색5 50" xfId="1390" xr:uid="{00000000-0005-0000-0000-000032020000}"/>
    <cellStyle name="20% - 강조색5 51" xfId="1404" xr:uid="{00000000-0005-0000-0000-000033020000}"/>
    <cellStyle name="20% - 강조색5 52" xfId="1418" xr:uid="{00000000-0005-0000-0000-000034020000}"/>
    <cellStyle name="20% - 강조색5 53" xfId="1433" xr:uid="{00000000-0005-0000-0000-000035020000}"/>
    <cellStyle name="20% - 강조색5 54" xfId="1447" xr:uid="{00000000-0005-0000-0000-000036020000}"/>
    <cellStyle name="20% - 강조색5 55" xfId="1461" xr:uid="{00000000-0005-0000-0000-000037020000}"/>
    <cellStyle name="20% - 강조색5 56" xfId="1475" xr:uid="{00000000-0005-0000-0000-000038020000}"/>
    <cellStyle name="20% - 강조색5 57" xfId="1489" xr:uid="{00000000-0005-0000-0000-000039020000}"/>
    <cellStyle name="20% - 강조색5 58" xfId="1503" xr:uid="{00000000-0005-0000-0000-00003A020000}"/>
    <cellStyle name="20% - 강조색5 59" xfId="1517" xr:uid="{00000000-0005-0000-0000-00003B020000}"/>
    <cellStyle name="20% - 강조색5 6" xfId="218" xr:uid="{00000000-0005-0000-0000-00003C020000}"/>
    <cellStyle name="20% - 강조색5 6 2" xfId="828" xr:uid="{00000000-0005-0000-0000-00003D020000}"/>
    <cellStyle name="20% - 강조색5 6 3" xfId="546" xr:uid="{00000000-0005-0000-0000-00003E020000}"/>
    <cellStyle name="20% - 강조색5 60" xfId="1531" xr:uid="{00000000-0005-0000-0000-00003F020000}"/>
    <cellStyle name="20% - 강조색5 61" xfId="1545" xr:uid="{00000000-0005-0000-0000-000040020000}"/>
    <cellStyle name="20% - 강조색5 62" xfId="1559" xr:uid="{00000000-0005-0000-0000-000041020000}"/>
    <cellStyle name="20% - 강조색5 63" xfId="1573" xr:uid="{00000000-0005-0000-0000-000042020000}"/>
    <cellStyle name="20% - 강조색5 64" xfId="1587" xr:uid="{00000000-0005-0000-0000-000043020000}"/>
    <cellStyle name="20% - 강조색5 65" xfId="1601" xr:uid="{00000000-0005-0000-0000-000044020000}"/>
    <cellStyle name="20% - 강조색5 66" xfId="1615" xr:uid="{00000000-0005-0000-0000-000045020000}"/>
    <cellStyle name="20% - 강조색5 67" xfId="1629" xr:uid="{00000000-0005-0000-0000-000046020000}"/>
    <cellStyle name="20% - 강조색5 68" xfId="1643" xr:uid="{00000000-0005-0000-0000-000047020000}"/>
    <cellStyle name="20% - 강조색5 69" xfId="1657" xr:uid="{00000000-0005-0000-0000-000048020000}"/>
    <cellStyle name="20% - 강조색5 7" xfId="235" xr:uid="{00000000-0005-0000-0000-000049020000}"/>
    <cellStyle name="20% - 강조색5 7 2" xfId="844" xr:uid="{00000000-0005-0000-0000-00004A020000}"/>
    <cellStyle name="20% - 강조색5 7 3" xfId="562" xr:uid="{00000000-0005-0000-0000-00004B020000}"/>
    <cellStyle name="20% - 강조색5 70" xfId="1671" xr:uid="{00000000-0005-0000-0000-00004C020000}"/>
    <cellStyle name="20% - 강조색5 71" xfId="1685" xr:uid="{00000000-0005-0000-0000-00004D020000}"/>
    <cellStyle name="20% - 강조색5 72" xfId="1699" xr:uid="{00000000-0005-0000-0000-00004E020000}"/>
    <cellStyle name="20% - 강조색5 73" xfId="1713" xr:uid="{00000000-0005-0000-0000-00004F020000}"/>
    <cellStyle name="20% - 강조색5 74" xfId="1727" xr:uid="{00000000-0005-0000-0000-000050020000}"/>
    <cellStyle name="20% - 강조색5 75" xfId="1746" xr:uid="{00000000-0005-0000-0000-000051020000}"/>
    <cellStyle name="20% - 강조색5 76" xfId="1766" xr:uid="{00000000-0005-0000-0000-000052020000}"/>
    <cellStyle name="20% - 강조색5 77" xfId="1786" xr:uid="{00000000-0005-0000-0000-000053020000}"/>
    <cellStyle name="20% - 강조색5 78" xfId="1807" xr:uid="{00000000-0005-0000-0000-000054020000}"/>
    <cellStyle name="20% - 강조색5 79" xfId="1823" xr:uid="{00000000-0005-0000-0000-000055020000}"/>
    <cellStyle name="20% - 강조색5 8" xfId="249" xr:uid="{00000000-0005-0000-0000-000056020000}"/>
    <cellStyle name="20% - 강조색5 8 2" xfId="858" xr:uid="{00000000-0005-0000-0000-000057020000}"/>
    <cellStyle name="20% - 강조색5 8 3" xfId="576" xr:uid="{00000000-0005-0000-0000-000058020000}"/>
    <cellStyle name="20% - 강조색5 80" xfId="1837" xr:uid="{00000000-0005-0000-0000-000059020000}"/>
    <cellStyle name="20% - 강조색5 81" xfId="1851" xr:uid="{00000000-0005-0000-0000-00005A020000}"/>
    <cellStyle name="20% - 강조색5 82" xfId="1865" xr:uid="{00000000-0005-0000-0000-00005B020000}"/>
    <cellStyle name="20% - 강조색5 83" xfId="1879" xr:uid="{00000000-0005-0000-0000-00005C020000}"/>
    <cellStyle name="20% - 강조색5 84" xfId="1893" xr:uid="{00000000-0005-0000-0000-00005D020000}"/>
    <cellStyle name="20% - 강조색5 85" xfId="1907" xr:uid="{00000000-0005-0000-0000-00005E020000}"/>
    <cellStyle name="20% - 강조색5 9" xfId="263" xr:uid="{00000000-0005-0000-0000-00005F020000}"/>
    <cellStyle name="20% - 강조색5 9 2" xfId="872" xr:uid="{00000000-0005-0000-0000-000060020000}"/>
    <cellStyle name="20% - 강조색5 9 3" xfId="590" xr:uid="{00000000-0005-0000-0000-000061020000}"/>
    <cellStyle name="20% - 강조색6" xfId="205" builtinId="50" customBuiltin="1"/>
    <cellStyle name="20% - 강조색6 10" xfId="305" xr:uid="{00000000-0005-0000-0000-000063020000}"/>
    <cellStyle name="20% - 강조색6 10 2" xfId="888" xr:uid="{00000000-0005-0000-0000-000064020000}"/>
    <cellStyle name="20% - 강조색6 10 3" xfId="606" xr:uid="{00000000-0005-0000-0000-000065020000}"/>
    <cellStyle name="20% - 강조색6 11" xfId="320" xr:uid="{00000000-0005-0000-0000-000066020000}"/>
    <cellStyle name="20% - 강조색6 12" xfId="334" xr:uid="{00000000-0005-0000-0000-000067020000}"/>
    <cellStyle name="20% - 강조색6 12 2" xfId="902" xr:uid="{00000000-0005-0000-0000-000068020000}"/>
    <cellStyle name="20% - 강조색6 12 3" xfId="620" xr:uid="{00000000-0005-0000-0000-000069020000}"/>
    <cellStyle name="20% - 강조색6 13" xfId="348" xr:uid="{00000000-0005-0000-0000-00006A020000}"/>
    <cellStyle name="20% - 강조색6 13 2" xfId="916" xr:uid="{00000000-0005-0000-0000-00006B020000}"/>
    <cellStyle name="20% - 강조색6 13 3" xfId="634" xr:uid="{00000000-0005-0000-0000-00006C020000}"/>
    <cellStyle name="20% - 강조색6 14" xfId="362" xr:uid="{00000000-0005-0000-0000-00006D020000}"/>
    <cellStyle name="20% - 강조색6 14 2" xfId="930" xr:uid="{00000000-0005-0000-0000-00006E020000}"/>
    <cellStyle name="20% - 강조색6 14 3" xfId="648" xr:uid="{00000000-0005-0000-0000-00006F020000}"/>
    <cellStyle name="20% - 강조색6 15" xfId="376" xr:uid="{00000000-0005-0000-0000-000070020000}"/>
    <cellStyle name="20% - 강조색6 15 2" xfId="944" xr:uid="{00000000-0005-0000-0000-000071020000}"/>
    <cellStyle name="20% - 강조색6 15 3" xfId="662" xr:uid="{00000000-0005-0000-0000-000072020000}"/>
    <cellStyle name="20% - 강조색6 16" xfId="390" xr:uid="{00000000-0005-0000-0000-000073020000}"/>
    <cellStyle name="20% - 강조색6 16 2" xfId="958" xr:uid="{00000000-0005-0000-0000-000074020000}"/>
    <cellStyle name="20% - 강조색6 16 3" xfId="676" xr:uid="{00000000-0005-0000-0000-000075020000}"/>
    <cellStyle name="20% - 강조색6 17" xfId="404" xr:uid="{00000000-0005-0000-0000-000076020000}"/>
    <cellStyle name="20% - 강조색6 17 2" xfId="972" xr:uid="{00000000-0005-0000-0000-000077020000}"/>
    <cellStyle name="20% - 강조색6 17 3" xfId="690" xr:uid="{00000000-0005-0000-0000-000078020000}"/>
    <cellStyle name="20% - 강조색6 18" xfId="418" xr:uid="{00000000-0005-0000-0000-000079020000}"/>
    <cellStyle name="20% - 강조색6 18 2" xfId="986" xr:uid="{00000000-0005-0000-0000-00007A020000}"/>
    <cellStyle name="20% - 강조색6 18 3" xfId="704" xr:uid="{00000000-0005-0000-0000-00007B020000}"/>
    <cellStyle name="20% - 강조색6 19" xfId="432" xr:uid="{00000000-0005-0000-0000-00007C020000}"/>
    <cellStyle name="20% - 강조색6 19 2" xfId="1000" xr:uid="{00000000-0005-0000-0000-00007D020000}"/>
    <cellStyle name="20% - 강조색6 19 3" xfId="718" xr:uid="{00000000-0005-0000-0000-00007E020000}"/>
    <cellStyle name="20% - 강조색6 2" xfId="21" xr:uid="{00000000-0005-0000-0000-00007F020000}"/>
    <cellStyle name="20% - 강조색6 20" xfId="446" xr:uid="{00000000-0005-0000-0000-000080020000}"/>
    <cellStyle name="20% - 강조색6 20 2" xfId="1014" xr:uid="{00000000-0005-0000-0000-000081020000}"/>
    <cellStyle name="20% - 강조색6 20 3" xfId="732" xr:uid="{00000000-0005-0000-0000-000082020000}"/>
    <cellStyle name="20% - 강조색6 21" xfId="460" xr:uid="{00000000-0005-0000-0000-000083020000}"/>
    <cellStyle name="20% - 강조색6 21 2" xfId="1028" xr:uid="{00000000-0005-0000-0000-000084020000}"/>
    <cellStyle name="20% - 강조색6 21 3" xfId="746" xr:uid="{00000000-0005-0000-0000-000085020000}"/>
    <cellStyle name="20% - 강조색6 22" xfId="474" xr:uid="{00000000-0005-0000-0000-000086020000}"/>
    <cellStyle name="20% - 강조색6 22 2" xfId="1042" xr:uid="{00000000-0005-0000-0000-000087020000}"/>
    <cellStyle name="20% - 강조색6 22 3" xfId="760" xr:uid="{00000000-0005-0000-0000-000088020000}"/>
    <cellStyle name="20% - 강조색6 23" xfId="488" xr:uid="{00000000-0005-0000-0000-000089020000}"/>
    <cellStyle name="20% - 강조색6 23 2" xfId="1056" xr:uid="{00000000-0005-0000-0000-00008A020000}"/>
    <cellStyle name="20% - 강조색6 23 3" xfId="774" xr:uid="{00000000-0005-0000-0000-00008B020000}"/>
    <cellStyle name="20% - 강조색6 24" xfId="502" xr:uid="{00000000-0005-0000-0000-00008C020000}"/>
    <cellStyle name="20% - 강조색6 24 2" xfId="1070" xr:uid="{00000000-0005-0000-0000-00008D020000}"/>
    <cellStyle name="20% - 강조색6 24 3" xfId="788" xr:uid="{00000000-0005-0000-0000-00008E020000}"/>
    <cellStyle name="20% - 강조색6 25" xfId="518" xr:uid="{00000000-0005-0000-0000-00008F020000}"/>
    <cellStyle name="20% - 강조색6 25 2" xfId="804" xr:uid="{00000000-0005-0000-0000-000090020000}"/>
    <cellStyle name="20% - 강조색6 26" xfId="816" xr:uid="{00000000-0005-0000-0000-000091020000}"/>
    <cellStyle name="20% - 강조색6 27" xfId="532" xr:uid="{00000000-0005-0000-0000-000092020000}"/>
    <cellStyle name="20% - 강조색6 28" xfId="1084" xr:uid="{00000000-0005-0000-0000-000093020000}"/>
    <cellStyle name="20% - 강조색6 29" xfId="1098" xr:uid="{00000000-0005-0000-0000-000094020000}"/>
    <cellStyle name="20% - 강조색6 3" xfId="22" xr:uid="{00000000-0005-0000-0000-000095020000}"/>
    <cellStyle name="20% - 강조색6 30" xfId="1112" xr:uid="{00000000-0005-0000-0000-000096020000}"/>
    <cellStyle name="20% - 강조색6 31" xfId="1126" xr:uid="{00000000-0005-0000-0000-000097020000}"/>
    <cellStyle name="20% - 강조색6 32" xfId="1140" xr:uid="{00000000-0005-0000-0000-000098020000}"/>
    <cellStyle name="20% - 강조색6 33" xfId="1154" xr:uid="{00000000-0005-0000-0000-000099020000}"/>
    <cellStyle name="20% - 강조색6 34" xfId="1168" xr:uid="{00000000-0005-0000-0000-00009A020000}"/>
    <cellStyle name="20% - 강조색6 35" xfId="1182" xr:uid="{00000000-0005-0000-0000-00009B020000}"/>
    <cellStyle name="20% - 강조색6 36" xfId="1196" xr:uid="{00000000-0005-0000-0000-00009C020000}"/>
    <cellStyle name="20% - 강조색6 37" xfId="1210" xr:uid="{00000000-0005-0000-0000-00009D020000}"/>
    <cellStyle name="20% - 강조색6 38" xfId="1224" xr:uid="{00000000-0005-0000-0000-00009E020000}"/>
    <cellStyle name="20% - 강조색6 39" xfId="1238" xr:uid="{00000000-0005-0000-0000-00009F020000}"/>
    <cellStyle name="20% - 강조색6 4" xfId="23" xr:uid="{00000000-0005-0000-0000-0000A0020000}"/>
    <cellStyle name="20% - 강조색6 40" xfId="1252" xr:uid="{00000000-0005-0000-0000-0000A1020000}"/>
    <cellStyle name="20% - 강조색6 41" xfId="1266" xr:uid="{00000000-0005-0000-0000-0000A2020000}"/>
    <cellStyle name="20% - 강조색6 42" xfId="1280" xr:uid="{00000000-0005-0000-0000-0000A3020000}"/>
    <cellStyle name="20% - 강조색6 43" xfId="1294" xr:uid="{00000000-0005-0000-0000-0000A4020000}"/>
    <cellStyle name="20% - 강조색6 44" xfId="1308" xr:uid="{00000000-0005-0000-0000-0000A5020000}"/>
    <cellStyle name="20% - 강조색6 45" xfId="1322" xr:uid="{00000000-0005-0000-0000-0000A6020000}"/>
    <cellStyle name="20% - 강조색6 46" xfId="1336" xr:uid="{00000000-0005-0000-0000-0000A7020000}"/>
    <cellStyle name="20% - 강조색6 47" xfId="1350" xr:uid="{00000000-0005-0000-0000-0000A8020000}"/>
    <cellStyle name="20% - 강조색6 48" xfId="1364" xr:uid="{00000000-0005-0000-0000-0000A9020000}"/>
    <cellStyle name="20% - 강조색6 49" xfId="1378" xr:uid="{00000000-0005-0000-0000-0000AA020000}"/>
    <cellStyle name="20% - 강조색6 5" xfId="24" xr:uid="{00000000-0005-0000-0000-0000AB020000}"/>
    <cellStyle name="20% - 강조색6 50" xfId="1392" xr:uid="{00000000-0005-0000-0000-0000AC020000}"/>
    <cellStyle name="20% - 강조색6 51" xfId="1406" xr:uid="{00000000-0005-0000-0000-0000AD020000}"/>
    <cellStyle name="20% - 강조색6 52" xfId="1420" xr:uid="{00000000-0005-0000-0000-0000AE020000}"/>
    <cellStyle name="20% - 강조색6 53" xfId="1435" xr:uid="{00000000-0005-0000-0000-0000AF020000}"/>
    <cellStyle name="20% - 강조색6 54" xfId="1449" xr:uid="{00000000-0005-0000-0000-0000B0020000}"/>
    <cellStyle name="20% - 강조색6 55" xfId="1463" xr:uid="{00000000-0005-0000-0000-0000B1020000}"/>
    <cellStyle name="20% - 강조색6 56" xfId="1477" xr:uid="{00000000-0005-0000-0000-0000B2020000}"/>
    <cellStyle name="20% - 강조색6 57" xfId="1491" xr:uid="{00000000-0005-0000-0000-0000B3020000}"/>
    <cellStyle name="20% - 강조색6 58" xfId="1505" xr:uid="{00000000-0005-0000-0000-0000B4020000}"/>
    <cellStyle name="20% - 강조색6 59" xfId="1519" xr:uid="{00000000-0005-0000-0000-0000B5020000}"/>
    <cellStyle name="20% - 강조색6 6" xfId="220" xr:uid="{00000000-0005-0000-0000-0000B6020000}"/>
    <cellStyle name="20% - 강조색6 6 2" xfId="830" xr:uid="{00000000-0005-0000-0000-0000B7020000}"/>
    <cellStyle name="20% - 강조색6 6 3" xfId="548" xr:uid="{00000000-0005-0000-0000-0000B8020000}"/>
    <cellStyle name="20% - 강조색6 60" xfId="1533" xr:uid="{00000000-0005-0000-0000-0000B9020000}"/>
    <cellStyle name="20% - 강조색6 61" xfId="1547" xr:uid="{00000000-0005-0000-0000-0000BA020000}"/>
    <cellStyle name="20% - 강조색6 62" xfId="1561" xr:uid="{00000000-0005-0000-0000-0000BB020000}"/>
    <cellStyle name="20% - 강조색6 63" xfId="1575" xr:uid="{00000000-0005-0000-0000-0000BC020000}"/>
    <cellStyle name="20% - 강조색6 64" xfId="1589" xr:uid="{00000000-0005-0000-0000-0000BD020000}"/>
    <cellStyle name="20% - 강조색6 65" xfId="1603" xr:uid="{00000000-0005-0000-0000-0000BE020000}"/>
    <cellStyle name="20% - 강조색6 66" xfId="1617" xr:uid="{00000000-0005-0000-0000-0000BF020000}"/>
    <cellStyle name="20% - 강조색6 67" xfId="1631" xr:uid="{00000000-0005-0000-0000-0000C0020000}"/>
    <cellStyle name="20% - 강조색6 68" xfId="1645" xr:uid="{00000000-0005-0000-0000-0000C1020000}"/>
    <cellStyle name="20% - 강조색6 69" xfId="1659" xr:uid="{00000000-0005-0000-0000-0000C2020000}"/>
    <cellStyle name="20% - 강조색6 7" xfId="237" xr:uid="{00000000-0005-0000-0000-0000C3020000}"/>
    <cellStyle name="20% - 강조색6 7 2" xfId="846" xr:uid="{00000000-0005-0000-0000-0000C4020000}"/>
    <cellStyle name="20% - 강조색6 7 3" xfId="564" xr:uid="{00000000-0005-0000-0000-0000C5020000}"/>
    <cellStyle name="20% - 강조색6 70" xfId="1673" xr:uid="{00000000-0005-0000-0000-0000C6020000}"/>
    <cellStyle name="20% - 강조색6 71" xfId="1687" xr:uid="{00000000-0005-0000-0000-0000C7020000}"/>
    <cellStyle name="20% - 강조색6 72" xfId="1701" xr:uid="{00000000-0005-0000-0000-0000C8020000}"/>
    <cellStyle name="20% - 강조색6 73" xfId="1715" xr:uid="{00000000-0005-0000-0000-0000C9020000}"/>
    <cellStyle name="20% - 강조색6 74" xfId="1729" xr:uid="{00000000-0005-0000-0000-0000CA020000}"/>
    <cellStyle name="20% - 강조색6 75" xfId="1749" xr:uid="{00000000-0005-0000-0000-0000CB020000}"/>
    <cellStyle name="20% - 강조색6 76" xfId="1769" xr:uid="{00000000-0005-0000-0000-0000CC020000}"/>
    <cellStyle name="20% - 강조색6 77" xfId="1789" xr:uid="{00000000-0005-0000-0000-0000CD020000}"/>
    <cellStyle name="20% - 강조색6 78" xfId="1810" xr:uid="{00000000-0005-0000-0000-0000CE020000}"/>
    <cellStyle name="20% - 강조색6 79" xfId="1825" xr:uid="{00000000-0005-0000-0000-0000CF020000}"/>
    <cellStyle name="20% - 강조색6 8" xfId="251" xr:uid="{00000000-0005-0000-0000-0000D0020000}"/>
    <cellStyle name="20% - 강조색6 8 2" xfId="860" xr:uid="{00000000-0005-0000-0000-0000D1020000}"/>
    <cellStyle name="20% - 강조색6 8 3" xfId="578" xr:uid="{00000000-0005-0000-0000-0000D2020000}"/>
    <cellStyle name="20% - 강조색6 80" xfId="1839" xr:uid="{00000000-0005-0000-0000-0000D3020000}"/>
    <cellStyle name="20% - 강조색6 81" xfId="1853" xr:uid="{00000000-0005-0000-0000-0000D4020000}"/>
    <cellStyle name="20% - 강조색6 82" xfId="1867" xr:uid="{00000000-0005-0000-0000-0000D5020000}"/>
    <cellStyle name="20% - 강조색6 83" xfId="1881" xr:uid="{00000000-0005-0000-0000-0000D6020000}"/>
    <cellStyle name="20% - 강조색6 84" xfId="1895" xr:uid="{00000000-0005-0000-0000-0000D7020000}"/>
    <cellStyle name="20% - 강조색6 85" xfId="1909" xr:uid="{00000000-0005-0000-0000-0000D8020000}"/>
    <cellStyle name="20% - 강조색6 9" xfId="265" xr:uid="{00000000-0005-0000-0000-0000D9020000}"/>
    <cellStyle name="20% - 강조색6 9 2" xfId="874" xr:uid="{00000000-0005-0000-0000-0000DA020000}"/>
    <cellStyle name="20% - 강조색6 9 3" xfId="592" xr:uid="{00000000-0005-0000-0000-0000DB020000}"/>
    <cellStyle name="40% - 강조색1" xfId="186" builtinId="31" customBuiltin="1"/>
    <cellStyle name="40% - 강조색1 10" xfId="286" xr:uid="{00000000-0005-0000-0000-0000DD020000}"/>
    <cellStyle name="40% - 강조색1 10 2" xfId="879" xr:uid="{00000000-0005-0000-0000-0000DE020000}"/>
    <cellStyle name="40% - 강조색1 10 3" xfId="597" xr:uid="{00000000-0005-0000-0000-0000DF020000}"/>
    <cellStyle name="40% - 강조색1 11" xfId="311" xr:uid="{00000000-0005-0000-0000-0000E0020000}"/>
    <cellStyle name="40% - 강조색1 12" xfId="325" xr:uid="{00000000-0005-0000-0000-0000E1020000}"/>
    <cellStyle name="40% - 강조색1 12 2" xfId="893" xr:uid="{00000000-0005-0000-0000-0000E2020000}"/>
    <cellStyle name="40% - 강조색1 12 3" xfId="611" xr:uid="{00000000-0005-0000-0000-0000E3020000}"/>
    <cellStyle name="40% - 강조색1 13" xfId="339" xr:uid="{00000000-0005-0000-0000-0000E4020000}"/>
    <cellStyle name="40% - 강조색1 13 2" xfId="907" xr:uid="{00000000-0005-0000-0000-0000E5020000}"/>
    <cellStyle name="40% - 강조색1 13 3" xfId="625" xr:uid="{00000000-0005-0000-0000-0000E6020000}"/>
    <cellStyle name="40% - 강조색1 14" xfId="353" xr:uid="{00000000-0005-0000-0000-0000E7020000}"/>
    <cellStyle name="40% - 강조색1 14 2" xfId="921" xr:uid="{00000000-0005-0000-0000-0000E8020000}"/>
    <cellStyle name="40% - 강조색1 14 3" xfId="639" xr:uid="{00000000-0005-0000-0000-0000E9020000}"/>
    <cellStyle name="40% - 강조색1 15" xfId="367" xr:uid="{00000000-0005-0000-0000-0000EA020000}"/>
    <cellStyle name="40% - 강조색1 15 2" xfId="935" xr:uid="{00000000-0005-0000-0000-0000EB020000}"/>
    <cellStyle name="40% - 강조색1 15 3" xfId="653" xr:uid="{00000000-0005-0000-0000-0000EC020000}"/>
    <cellStyle name="40% - 강조색1 16" xfId="381" xr:uid="{00000000-0005-0000-0000-0000ED020000}"/>
    <cellStyle name="40% - 강조색1 16 2" xfId="949" xr:uid="{00000000-0005-0000-0000-0000EE020000}"/>
    <cellStyle name="40% - 강조색1 16 3" xfId="667" xr:uid="{00000000-0005-0000-0000-0000EF020000}"/>
    <cellStyle name="40% - 강조색1 17" xfId="395" xr:uid="{00000000-0005-0000-0000-0000F0020000}"/>
    <cellStyle name="40% - 강조색1 17 2" xfId="963" xr:uid="{00000000-0005-0000-0000-0000F1020000}"/>
    <cellStyle name="40% - 강조색1 17 3" xfId="681" xr:uid="{00000000-0005-0000-0000-0000F2020000}"/>
    <cellStyle name="40% - 강조색1 18" xfId="409" xr:uid="{00000000-0005-0000-0000-0000F3020000}"/>
    <cellStyle name="40% - 강조색1 18 2" xfId="977" xr:uid="{00000000-0005-0000-0000-0000F4020000}"/>
    <cellStyle name="40% - 강조색1 18 3" xfId="695" xr:uid="{00000000-0005-0000-0000-0000F5020000}"/>
    <cellStyle name="40% - 강조색1 19" xfId="423" xr:uid="{00000000-0005-0000-0000-0000F6020000}"/>
    <cellStyle name="40% - 강조색1 19 2" xfId="991" xr:uid="{00000000-0005-0000-0000-0000F7020000}"/>
    <cellStyle name="40% - 강조색1 19 3" xfId="709" xr:uid="{00000000-0005-0000-0000-0000F8020000}"/>
    <cellStyle name="40% - 강조색1 2" xfId="25" xr:uid="{00000000-0005-0000-0000-0000F9020000}"/>
    <cellStyle name="40% - 강조색1 20" xfId="437" xr:uid="{00000000-0005-0000-0000-0000FA020000}"/>
    <cellStyle name="40% - 강조색1 20 2" xfId="1005" xr:uid="{00000000-0005-0000-0000-0000FB020000}"/>
    <cellStyle name="40% - 강조색1 20 3" xfId="723" xr:uid="{00000000-0005-0000-0000-0000FC020000}"/>
    <cellStyle name="40% - 강조색1 21" xfId="451" xr:uid="{00000000-0005-0000-0000-0000FD020000}"/>
    <cellStyle name="40% - 강조색1 21 2" xfId="1019" xr:uid="{00000000-0005-0000-0000-0000FE020000}"/>
    <cellStyle name="40% - 강조색1 21 3" xfId="737" xr:uid="{00000000-0005-0000-0000-0000FF020000}"/>
    <cellStyle name="40% - 강조색1 22" xfId="465" xr:uid="{00000000-0005-0000-0000-000000030000}"/>
    <cellStyle name="40% - 강조색1 22 2" xfId="1033" xr:uid="{00000000-0005-0000-0000-000001030000}"/>
    <cellStyle name="40% - 강조색1 22 3" xfId="751" xr:uid="{00000000-0005-0000-0000-000002030000}"/>
    <cellStyle name="40% - 강조색1 23" xfId="479" xr:uid="{00000000-0005-0000-0000-000003030000}"/>
    <cellStyle name="40% - 강조색1 23 2" xfId="1047" xr:uid="{00000000-0005-0000-0000-000004030000}"/>
    <cellStyle name="40% - 강조색1 23 3" xfId="765" xr:uid="{00000000-0005-0000-0000-000005030000}"/>
    <cellStyle name="40% - 강조색1 24" xfId="493" xr:uid="{00000000-0005-0000-0000-000006030000}"/>
    <cellStyle name="40% - 강조색1 24 2" xfId="1061" xr:uid="{00000000-0005-0000-0000-000007030000}"/>
    <cellStyle name="40% - 강조색1 24 3" xfId="779" xr:uid="{00000000-0005-0000-0000-000008030000}"/>
    <cellStyle name="40% - 강조색1 25" xfId="509" xr:uid="{00000000-0005-0000-0000-000009030000}"/>
    <cellStyle name="40% - 강조색1 25 2" xfId="795" xr:uid="{00000000-0005-0000-0000-00000A030000}"/>
    <cellStyle name="40% - 강조색1 26" xfId="807" xr:uid="{00000000-0005-0000-0000-00000B030000}"/>
    <cellStyle name="40% - 강조색1 27" xfId="523" xr:uid="{00000000-0005-0000-0000-00000C030000}"/>
    <cellStyle name="40% - 강조색1 28" xfId="1075" xr:uid="{00000000-0005-0000-0000-00000D030000}"/>
    <cellStyle name="40% - 강조색1 29" xfId="1089" xr:uid="{00000000-0005-0000-0000-00000E030000}"/>
    <cellStyle name="40% - 강조색1 3" xfId="26" xr:uid="{00000000-0005-0000-0000-00000F030000}"/>
    <cellStyle name="40% - 강조색1 30" xfId="1103" xr:uid="{00000000-0005-0000-0000-000010030000}"/>
    <cellStyle name="40% - 강조색1 31" xfId="1117" xr:uid="{00000000-0005-0000-0000-000011030000}"/>
    <cellStyle name="40% - 강조색1 32" xfId="1131" xr:uid="{00000000-0005-0000-0000-000012030000}"/>
    <cellStyle name="40% - 강조색1 33" xfId="1145" xr:uid="{00000000-0005-0000-0000-000013030000}"/>
    <cellStyle name="40% - 강조색1 34" xfId="1159" xr:uid="{00000000-0005-0000-0000-000014030000}"/>
    <cellStyle name="40% - 강조색1 35" xfId="1173" xr:uid="{00000000-0005-0000-0000-000015030000}"/>
    <cellStyle name="40% - 강조색1 36" xfId="1187" xr:uid="{00000000-0005-0000-0000-000016030000}"/>
    <cellStyle name="40% - 강조색1 37" xfId="1201" xr:uid="{00000000-0005-0000-0000-000017030000}"/>
    <cellStyle name="40% - 강조색1 38" xfId="1215" xr:uid="{00000000-0005-0000-0000-000018030000}"/>
    <cellStyle name="40% - 강조색1 39" xfId="1229" xr:uid="{00000000-0005-0000-0000-000019030000}"/>
    <cellStyle name="40% - 강조색1 4" xfId="27" xr:uid="{00000000-0005-0000-0000-00001A030000}"/>
    <cellStyle name="40% - 강조색1 40" xfId="1243" xr:uid="{00000000-0005-0000-0000-00001B030000}"/>
    <cellStyle name="40% - 강조색1 41" xfId="1257" xr:uid="{00000000-0005-0000-0000-00001C030000}"/>
    <cellStyle name="40% - 강조색1 42" xfId="1271" xr:uid="{00000000-0005-0000-0000-00001D030000}"/>
    <cellStyle name="40% - 강조색1 43" xfId="1285" xr:uid="{00000000-0005-0000-0000-00001E030000}"/>
    <cellStyle name="40% - 강조색1 44" xfId="1299" xr:uid="{00000000-0005-0000-0000-00001F030000}"/>
    <cellStyle name="40% - 강조색1 45" xfId="1313" xr:uid="{00000000-0005-0000-0000-000020030000}"/>
    <cellStyle name="40% - 강조색1 46" xfId="1327" xr:uid="{00000000-0005-0000-0000-000021030000}"/>
    <cellStyle name="40% - 강조색1 47" xfId="1341" xr:uid="{00000000-0005-0000-0000-000022030000}"/>
    <cellStyle name="40% - 강조색1 48" xfId="1355" xr:uid="{00000000-0005-0000-0000-000023030000}"/>
    <cellStyle name="40% - 강조색1 49" xfId="1369" xr:uid="{00000000-0005-0000-0000-000024030000}"/>
    <cellStyle name="40% - 강조색1 5" xfId="28" xr:uid="{00000000-0005-0000-0000-000025030000}"/>
    <cellStyle name="40% - 강조색1 50" xfId="1383" xr:uid="{00000000-0005-0000-0000-000026030000}"/>
    <cellStyle name="40% - 강조색1 51" xfId="1397" xr:uid="{00000000-0005-0000-0000-000027030000}"/>
    <cellStyle name="40% - 강조색1 52" xfId="1411" xr:uid="{00000000-0005-0000-0000-000028030000}"/>
    <cellStyle name="40% - 강조색1 53" xfId="1426" xr:uid="{00000000-0005-0000-0000-000029030000}"/>
    <cellStyle name="40% - 강조색1 54" xfId="1440" xr:uid="{00000000-0005-0000-0000-00002A030000}"/>
    <cellStyle name="40% - 강조색1 55" xfId="1454" xr:uid="{00000000-0005-0000-0000-00002B030000}"/>
    <cellStyle name="40% - 강조색1 56" xfId="1468" xr:uid="{00000000-0005-0000-0000-00002C030000}"/>
    <cellStyle name="40% - 강조색1 57" xfId="1482" xr:uid="{00000000-0005-0000-0000-00002D030000}"/>
    <cellStyle name="40% - 강조색1 58" xfId="1496" xr:uid="{00000000-0005-0000-0000-00002E030000}"/>
    <cellStyle name="40% - 강조색1 59" xfId="1510" xr:uid="{00000000-0005-0000-0000-00002F030000}"/>
    <cellStyle name="40% - 강조색1 6" xfId="211" xr:uid="{00000000-0005-0000-0000-000030030000}"/>
    <cellStyle name="40% - 강조색1 6 2" xfId="821" xr:uid="{00000000-0005-0000-0000-000031030000}"/>
    <cellStyle name="40% - 강조색1 6 3" xfId="539" xr:uid="{00000000-0005-0000-0000-000032030000}"/>
    <cellStyle name="40% - 강조색1 60" xfId="1524" xr:uid="{00000000-0005-0000-0000-000033030000}"/>
    <cellStyle name="40% - 강조색1 61" xfId="1538" xr:uid="{00000000-0005-0000-0000-000034030000}"/>
    <cellStyle name="40% - 강조색1 62" xfId="1552" xr:uid="{00000000-0005-0000-0000-000035030000}"/>
    <cellStyle name="40% - 강조색1 63" xfId="1566" xr:uid="{00000000-0005-0000-0000-000036030000}"/>
    <cellStyle name="40% - 강조색1 64" xfId="1580" xr:uid="{00000000-0005-0000-0000-000037030000}"/>
    <cellStyle name="40% - 강조색1 65" xfId="1594" xr:uid="{00000000-0005-0000-0000-000038030000}"/>
    <cellStyle name="40% - 강조색1 66" xfId="1608" xr:uid="{00000000-0005-0000-0000-000039030000}"/>
    <cellStyle name="40% - 강조색1 67" xfId="1622" xr:uid="{00000000-0005-0000-0000-00003A030000}"/>
    <cellStyle name="40% - 강조색1 68" xfId="1636" xr:uid="{00000000-0005-0000-0000-00003B030000}"/>
    <cellStyle name="40% - 강조색1 69" xfId="1650" xr:uid="{00000000-0005-0000-0000-00003C030000}"/>
    <cellStyle name="40% - 강조색1 7" xfId="228" xr:uid="{00000000-0005-0000-0000-00003D030000}"/>
    <cellStyle name="40% - 강조색1 7 2" xfId="837" xr:uid="{00000000-0005-0000-0000-00003E030000}"/>
    <cellStyle name="40% - 강조색1 7 3" xfId="555" xr:uid="{00000000-0005-0000-0000-00003F030000}"/>
    <cellStyle name="40% - 강조색1 70" xfId="1664" xr:uid="{00000000-0005-0000-0000-000040030000}"/>
    <cellStyle name="40% - 강조색1 71" xfId="1678" xr:uid="{00000000-0005-0000-0000-000041030000}"/>
    <cellStyle name="40% - 강조색1 72" xfId="1692" xr:uid="{00000000-0005-0000-0000-000042030000}"/>
    <cellStyle name="40% - 강조색1 73" xfId="1706" xr:uid="{00000000-0005-0000-0000-000043030000}"/>
    <cellStyle name="40% - 강조색1 74" xfId="1720" xr:uid="{00000000-0005-0000-0000-000044030000}"/>
    <cellStyle name="40% - 강조색1 75" xfId="1735" xr:uid="{00000000-0005-0000-0000-000045030000}"/>
    <cellStyle name="40% - 강조색1 76" xfId="1755" xr:uid="{00000000-0005-0000-0000-000046030000}"/>
    <cellStyle name="40% - 강조색1 77" xfId="1775" xr:uid="{00000000-0005-0000-0000-000047030000}"/>
    <cellStyle name="40% - 강조색1 78" xfId="1796" xr:uid="{00000000-0005-0000-0000-000048030000}"/>
    <cellStyle name="40% - 강조색1 79" xfId="1816" xr:uid="{00000000-0005-0000-0000-000049030000}"/>
    <cellStyle name="40% - 강조색1 8" xfId="242" xr:uid="{00000000-0005-0000-0000-00004A030000}"/>
    <cellStyle name="40% - 강조색1 8 2" xfId="851" xr:uid="{00000000-0005-0000-0000-00004B030000}"/>
    <cellStyle name="40% - 강조색1 8 3" xfId="569" xr:uid="{00000000-0005-0000-0000-00004C030000}"/>
    <cellStyle name="40% - 강조색1 80" xfId="1830" xr:uid="{00000000-0005-0000-0000-00004D030000}"/>
    <cellStyle name="40% - 강조색1 81" xfId="1844" xr:uid="{00000000-0005-0000-0000-00004E030000}"/>
    <cellStyle name="40% - 강조색1 82" xfId="1858" xr:uid="{00000000-0005-0000-0000-00004F030000}"/>
    <cellStyle name="40% - 강조색1 83" xfId="1872" xr:uid="{00000000-0005-0000-0000-000050030000}"/>
    <cellStyle name="40% - 강조색1 84" xfId="1886" xr:uid="{00000000-0005-0000-0000-000051030000}"/>
    <cellStyle name="40% - 강조색1 85" xfId="1900" xr:uid="{00000000-0005-0000-0000-000052030000}"/>
    <cellStyle name="40% - 강조색1 9" xfId="256" xr:uid="{00000000-0005-0000-0000-000053030000}"/>
    <cellStyle name="40% - 강조색1 9 2" xfId="865" xr:uid="{00000000-0005-0000-0000-000054030000}"/>
    <cellStyle name="40% - 강조색1 9 3" xfId="583" xr:uid="{00000000-0005-0000-0000-000055030000}"/>
    <cellStyle name="40% - 강조색2" xfId="190" builtinId="35" customBuiltin="1"/>
    <cellStyle name="40% - 강조색2 10" xfId="290" xr:uid="{00000000-0005-0000-0000-000057030000}"/>
    <cellStyle name="40% - 강조색2 10 2" xfId="881" xr:uid="{00000000-0005-0000-0000-000058030000}"/>
    <cellStyle name="40% - 강조색2 10 3" xfId="599" xr:uid="{00000000-0005-0000-0000-000059030000}"/>
    <cellStyle name="40% - 강조색2 11" xfId="313" xr:uid="{00000000-0005-0000-0000-00005A030000}"/>
    <cellStyle name="40% - 강조색2 12" xfId="327" xr:uid="{00000000-0005-0000-0000-00005B030000}"/>
    <cellStyle name="40% - 강조색2 12 2" xfId="895" xr:uid="{00000000-0005-0000-0000-00005C030000}"/>
    <cellStyle name="40% - 강조색2 12 3" xfId="613" xr:uid="{00000000-0005-0000-0000-00005D030000}"/>
    <cellStyle name="40% - 강조색2 13" xfId="341" xr:uid="{00000000-0005-0000-0000-00005E030000}"/>
    <cellStyle name="40% - 강조색2 13 2" xfId="909" xr:uid="{00000000-0005-0000-0000-00005F030000}"/>
    <cellStyle name="40% - 강조색2 13 3" xfId="627" xr:uid="{00000000-0005-0000-0000-000060030000}"/>
    <cellStyle name="40% - 강조색2 14" xfId="355" xr:uid="{00000000-0005-0000-0000-000061030000}"/>
    <cellStyle name="40% - 강조색2 14 2" xfId="923" xr:uid="{00000000-0005-0000-0000-000062030000}"/>
    <cellStyle name="40% - 강조색2 14 3" xfId="641" xr:uid="{00000000-0005-0000-0000-000063030000}"/>
    <cellStyle name="40% - 강조색2 15" xfId="369" xr:uid="{00000000-0005-0000-0000-000064030000}"/>
    <cellStyle name="40% - 강조색2 15 2" xfId="937" xr:uid="{00000000-0005-0000-0000-000065030000}"/>
    <cellStyle name="40% - 강조색2 15 3" xfId="655" xr:uid="{00000000-0005-0000-0000-000066030000}"/>
    <cellStyle name="40% - 강조색2 16" xfId="383" xr:uid="{00000000-0005-0000-0000-000067030000}"/>
    <cellStyle name="40% - 강조색2 16 2" xfId="951" xr:uid="{00000000-0005-0000-0000-000068030000}"/>
    <cellStyle name="40% - 강조색2 16 3" xfId="669" xr:uid="{00000000-0005-0000-0000-000069030000}"/>
    <cellStyle name="40% - 강조색2 17" xfId="397" xr:uid="{00000000-0005-0000-0000-00006A030000}"/>
    <cellStyle name="40% - 강조색2 17 2" xfId="965" xr:uid="{00000000-0005-0000-0000-00006B030000}"/>
    <cellStyle name="40% - 강조색2 17 3" xfId="683" xr:uid="{00000000-0005-0000-0000-00006C030000}"/>
    <cellStyle name="40% - 강조색2 18" xfId="411" xr:uid="{00000000-0005-0000-0000-00006D030000}"/>
    <cellStyle name="40% - 강조색2 18 2" xfId="979" xr:uid="{00000000-0005-0000-0000-00006E030000}"/>
    <cellStyle name="40% - 강조색2 18 3" xfId="697" xr:uid="{00000000-0005-0000-0000-00006F030000}"/>
    <cellStyle name="40% - 강조색2 19" xfId="425" xr:uid="{00000000-0005-0000-0000-000070030000}"/>
    <cellStyle name="40% - 강조색2 19 2" xfId="993" xr:uid="{00000000-0005-0000-0000-000071030000}"/>
    <cellStyle name="40% - 강조색2 19 3" xfId="711" xr:uid="{00000000-0005-0000-0000-000072030000}"/>
    <cellStyle name="40% - 강조색2 2" xfId="29" xr:uid="{00000000-0005-0000-0000-000073030000}"/>
    <cellStyle name="40% - 강조색2 20" xfId="439" xr:uid="{00000000-0005-0000-0000-000074030000}"/>
    <cellStyle name="40% - 강조색2 20 2" xfId="1007" xr:uid="{00000000-0005-0000-0000-000075030000}"/>
    <cellStyle name="40% - 강조색2 20 3" xfId="725" xr:uid="{00000000-0005-0000-0000-000076030000}"/>
    <cellStyle name="40% - 강조색2 21" xfId="453" xr:uid="{00000000-0005-0000-0000-000077030000}"/>
    <cellStyle name="40% - 강조색2 21 2" xfId="1021" xr:uid="{00000000-0005-0000-0000-000078030000}"/>
    <cellStyle name="40% - 강조색2 21 3" xfId="739" xr:uid="{00000000-0005-0000-0000-000079030000}"/>
    <cellStyle name="40% - 강조색2 22" xfId="467" xr:uid="{00000000-0005-0000-0000-00007A030000}"/>
    <cellStyle name="40% - 강조색2 22 2" xfId="1035" xr:uid="{00000000-0005-0000-0000-00007B030000}"/>
    <cellStyle name="40% - 강조색2 22 3" xfId="753" xr:uid="{00000000-0005-0000-0000-00007C030000}"/>
    <cellStyle name="40% - 강조색2 23" xfId="481" xr:uid="{00000000-0005-0000-0000-00007D030000}"/>
    <cellStyle name="40% - 강조색2 23 2" xfId="1049" xr:uid="{00000000-0005-0000-0000-00007E030000}"/>
    <cellStyle name="40% - 강조색2 23 3" xfId="767" xr:uid="{00000000-0005-0000-0000-00007F030000}"/>
    <cellStyle name="40% - 강조색2 24" xfId="495" xr:uid="{00000000-0005-0000-0000-000080030000}"/>
    <cellStyle name="40% - 강조색2 24 2" xfId="1063" xr:uid="{00000000-0005-0000-0000-000081030000}"/>
    <cellStyle name="40% - 강조색2 24 3" xfId="781" xr:uid="{00000000-0005-0000-0000-000082030000}"/>
    <cellStyle name="40% - 강조색2 25" xfId="511" xr:uid="{00000000-0005-0000-0000-000083030000}"/>
    <cellStyle name="40% - 강조색2 25 2" xfId="797" xr:uid="{00000000-0005-0000-0000-000084030000}"/>
    <cellStyle name="40% - 강조색2 26" xfId="809" xr:uid="{00000000-0005-0000-0000-000085030000}"/>
    <cellStyle name="40% - 강조색2 27" xfId="525" xr:uid="{00000000-0005-0000-0000-000086030000}"/>
    <cellStyle name="40% - 강조색2 28" xfId="1077" xr:uid="{00000000-0005-0000-0000-000087030000}"/>
    <cellStyle name="40% - 강조색2 29" xfId="1091" xr:uid="{00000000-0005-0000-0000-000088030000}"/>
    <cellStyle name="40% - 강조색2 3" xfId="30" xr:uid="{00000000-0005-0000-0000-000089030000}"/>
    <cellStyle name="40% - 강조색2 30" xfId="1105" xr:uid="{00000000-0005-0000-0000-00008A030000}"/>
    <cellStyle name="40% - 강조색2 31" xfId="1119" xr:uid="{00000000-0005-0000-0000-00008B030000}"/>
    <cellStyle name="40% - 강조색2 32" xfId="1133" xr:uid="{00000000-0005-0000-0000-00008C030000}"/>
    <cellStyle name="40% - 강조색2 33" xfId="1147" xr:uid="{00000000-0005-0000-0000-00008D030000}"/>
    <cellStyle name="40% - 강조색2 34" xfId="1161" xr:uid="{00000000-0005-0000-0000-00008E030000}"/>
    <cellStyle name="40% - 강조색2 35" xfId="1175" xr:uid="{00000000-0005-0000-0000-00008F030000}"/>
    <cellStyle name="40% - 강조색2 36" xfId="1189" xr:uid="{00000000-0005-0000-0000-000090030000}"/>
    <cellStyle name="40% - 강조색2 37" xfId="1203" xr:uid="{00000000-0005-0000-0000-000091030000}"/>
    <cellStyle name="40% - 강조색2 38" xfId="1217" xr:uid="{00000000-0005-0000-0000-000092030000}"/>
    <cellStyle name="40% - 강조색2 39" xfId="1231" xr:uid="{00000000-0005-0000-0000-000093030000}"/>
    <cellStyle name="40% - 강조색2 4" xfId="31" xr:uid="{00000000-0005-0000-0000-000094030000}"/>
    <cellStyle name="40% - 강조색2 40" xfId="1245" xr:uid="{00000000-0005-0000-0000-000095030000}"/>
    <cellStyle name="40% - 강조색2 41" xfId="1259" xr:uid="{00000000-0005-0000-0000-000096030000}"/>
    <cellStyle name="40% - 강조색2 42" xfId="1273" xr:uid="{00000000-0005-0000-0000-000097030000}"/>
    <cellStyle name="40% - 강조색2 43" xfId="1287" xr:uid="{00000000-0005-0000-0000-000098030000}"/>
    <cellStyle name="40% - 강조색2 44" xfId="1301" xr:uid="{00000000-0005-0000-0000-000099030000}"/>
    <cellStyle name="40% - 강조색2 45" xfId="1315" xr:uid="{00000000-0005-0000-0000-00009A030000}"/>
    <cellStyle name="40% - 강조색2 46" xfId="1329" xr:uid="{00000000-0005-0000-0000-00009B030000}"/>
    <cellStyle name="40% - 강조색2 47" xfId="1343" xr:uid="{00000000-0005-0000-0000-00009C030000}"/>
    <cellStyle name="40% - 강조색2 48" xfId="1357" xr:uid="{00000000-0005-0000-0000-00009D030000}"/>
    <cellStyle name="40% - 강조색2 49" xfId="1371" xr:uid="{00000000-0005-0000-0000-00009E030000}"/>
    <cellStyle name="40% - 강조색2 5" xfId="32" xr:uid="{00000000-0005-0000-0000-00009F030000}"/>
    <cellStyle name="40% - 강조색2 50" xfId="1385" xr:uid="{00000000-0005-0000-0000-0000A0030000}"/>
    <cellStyle name="40% - 강조색2 51" xfId="1399" xr:uid="{00000000-0005-0000-0000-0000A1030000}"/>
    <cellStyle name="40% - 강조색2 52" xfId="1413" xr:uid="{00000000-0005-0000-0000-0000A2030000}"/>
    <cellStyle name="40% - 강조색2 53" xfId="1428" xr:uid="{00000000-0005-0000-0000-0000A3030000}"/>
    <cellStyle name="40% - 강조색2 54" xfId="1442" xr:uid="{00000000-0005-0000-0000-0000A4030000}"/>
    <cellStyle name="40% - 강조색2 55" xfId="1456" xr:uid="{00000000-0005-0000-0000-0000A5030000}"/>
    <cellStyle name="40% - 강조색2 56" xfId="1470" xr:uid="{00000000-0005-0000-0000-0000A6030000}"/>
    <cellStyle name="40% - 강조색2 57" xfId="1484" xr:uid="{00000000-0005-0000-0000-0000A7030000}"/>
    <cellStyle name="40% - 강조색2 58" xfId="1498" xr:uid="{00000000-0005-0000-0000-0000A8030000}"/>
    <cellStyle name="40% - 강조색2 59" xfId="1512" xr:uid="{00000000-0005-0000-0000-0000A9030000}"/>
    <cellStyle name="40% - 강조색2 6" xfId="213" xr:uid="{00000000-0005-0000-0000-0000AA030000}"/>
    <cellStyle name="40% - 강조색2 6 2" xfId="823" xr:uid="{00000000-0005-0000-0000-0000AB030000}"/>
    <cellStyle name="40% - 강조색2 6 3" xfId="541" xr:uid="{00000000-0005-0000-0000-0000AC030000}"/>
    <cellStyle name="40% - 강조색2 60" xfId="1526" xr:uid="{00000000-0005-0000-0000-0000AD030000}"/>
    <cellStyle name="40% - 강조색2 61" xfId="1540" xr:uid="{00000000-0005-0000-0000-0000AE030000}"/>
    <cellStyle name="40% - 강조색2 62" xfId="1554" xr:uid="{00000000-0005-0000-0000-0000AF030000}"/>
    <cellStyle name="40% - 강조색2 63" xfId="1568" xr:uid="{00000000-0005-0000-0000-0000B0030000}"/>
    <cellStyle name="40% - 강조색2 64" xfId="1582" xr:uid="{00000000-0005-0000-0000-0000B1030000}"/>
    <cellStyle name="40% - 강조색2 65" xfId="1596" xr:uid="{00000000-0005-0000-0000-0000B2030000}"/>
    <cellStyle name="40% - 강조색2 66" xfId="1610" xr:uid="{00000000-0005-0000-0000-0000B3030000}"/>
    <cellStyle name="40% - 강조색2 67" xfId="1624" xr:uid="{00000000-0005-0000-0000-0000B4030000}"/>
    <cellStyle name="40% - 강조색2 68" xfId="1638" xr:uid="{00000000-0005-0000-0000-0000B5030000}"/>
    <cellStyle name="40% - 강조색2 69" xfId="1652" xr:uid="{00000000-0005-0000-0000-0000B6030000}"/>
    <cellStyle name="40% - 강조색2 7" xfId="230" xr:uid="{00000000-0005-0000-0000-0000B7030000}"/>
    <cellStyle name="40% - 강조색2 7 2" xfId="839" xr:uid="{00000000-0005-0000-0000-0000B8030000}"/>
    <cellStyle name="40% - 강조색2 7 3" xfId="557" xr:uid="{00000000-0005-0000-0000-0000B9030000}"/>
    <cellStyle name="40% - 강조색2 70" xfId="1666" xr:uid="{00000000-0005-0000-0000-0000BA030000}"/>
    <cellStyle name="40% - 강조색2 71" xfId="1680" xr:uid="{00000000-0005-0000-0000-0000BB030000}"/>
    <cellStyle name="40% - 강조색2 72" xfId="1694" xr:uid="{00000000-0005-0000-0000-0000BC030000}"/>
    <cellStyle name="40% - 강조색2 73" xfId="1708" xr:uid="{00000000-0005-0000-0000-0000BD030000}"/>
    <cellStyle name="40% - 강조색2 74" xfId="1722" xr:uid="{00000000-0005-0000-0000-0000BE030000}"/>
    <cellStyle name="40% - 강조색2 75" xfId="1738" xr:uid="{00000000-0005-0000-0000-0000BF030000}"/>
    <cellStyle name="40% - 강조색2 76" xfId="1758" xr:uid="{00000000-0005-0000-0000-0000C0030000}"/>
    <cellStyle name="40% - 강조색2 77" xfId="1778" xr:uid="{00000000-0005-0000-0000-0000C1030000}"/>
    <cellStyle name="40% - 강조색2 78" xfId="1799" xr:uid="{00000000-0005-0000-0000-0000C2030000}"/>
    <cellStyle name="40% - 강조색2 79" xfId="1818" xr:uid="{00000000-0005-0000-0000-0000C3030000}"/>
    <cellStyle name="40% - 강조색2 8" xfId="244" xr:uid="{00000000-0005-0000-0000-0000C4030000}"/>
    <cellStyle name="40% - 강조색2 8 2" xfId="853" xr:uid="{00000000-0005-0000-0000-0000C5030000}"/>
    <cellStyle name="40% - 강조색2 8 3" xfId="571" xr:uid="{00000000-0005-0000-0000-0000C6030000}"/>
    <cellStyle name="40% - 강조색2 80" xfId="1832" xr:uid="{00000000-0005-0000-0000-0000C7030000}"/>
    <cellStyle name="40% - 강조색2 81" xfId="1846" xr:uid="{00000000-0005-0000-0000-0000C8030000}"/>
    <cellStyle name="40% - 강조색2 82" xfId="1860" xr:uid="{00000000-0005-0000-0000-0000C9030000}"/>
    <cellStyle name="40% - 강조색2 83" xfId="1874" xr:uid="{00000000-0005-0000-0000-0000CA030000}"/>
    <cellStyle name="40% - 강조색2 84" xfId="1888" xr:uid="{00000000-0005-0000-0000-0000CB030000}"/>
    <cellStyle name="40% - 강조색2 85" xfId="1902" xr:uid="{00000000-0005-0000-0000-0000CC030000}"/>
    <cellStyle name="40% - 강조색2 9" xfId="258" xr:uid="{00000000-0005-0000-0000-0000CD030000}"/>
    <cellStyle name="40% - 강조색2 9 2" xfId="867" xr:uid="{00000000-0005-0000-0000-0000CE030000}"/>
    <cellStyle name="40% - 강조색2 9 3" xfId="585" xr:uid="{00000000-0005-0000-0000-0000CF030000}"/>
    <cellStyle name="40% - 강조색3" xfId="194" builtinId="39" customBuiltin="1"/>
    <cellStyle name="40% - 강조색3 10" xfId="294" xr:uid="{00000000-0005-0000-0000-0000D1030000}"/>
    <cellStyle name="40% - 강조색3 10 2" xfId="883" xr:uid="{00000000-0005-0000-0000-0000D2030000}"/>
    <cellStyle name="40% - 강조색3 10 3" xfId="601" xr:uid="{00000000-0005-0000-0000-0000D3030000}"/>
    <cellStyle name="40% - 강조색3 11" xfId="315" xr:uid="{00000000-0005-0000-0000-0000D4030000}"/>
    <cellStyle name="40% - 강조색3 12" xfId="329" xr:uid="{00000000-0005-0000-0000-0000D5030000}"/>
    <cellStyle name="40% - 강조색3 12 2" xfId="897" xr:uid="{00000000-0005-0000-0000-0000D6030000}"/>
    <cellStyle name="40% - 강조색3 12 3" xfId="615" xr:uid="{00000000-0005-0000-0000-0000D7030000}"/>
    <cellStyle name="40% - 강조색3 13" xfId="343" xr:uid="{00000000-0005-0000-0000-0000D8030000}"/>
    <cellStyle name="40% - 강조색3 13 2" xfId="911" xr:uid="{00000000-0005-0000-0000-0000D9030000}"/>
    <cellStyle name="40% - 강조색3 13 3" xfId="629" xr:uid="{00000000-0005-0000-0000-0000DA030000}"/>
    <cellStyle name="40% - 강조색3 14" xfId="357" xr:uid="{00000000-0005-0000-0000-0000DB030000}"/>
    <cellStyle name="40% - 강조색3 14 2" xfId="925" xr:uid="{00000000-0005-0000-0000-0000DC030000}"/>
    <cellStyle name="40% - 강조색3 14 3" xfId="643" xr:uid="{00000000-0005-0000-0000-0000DD030000}"/>
    <cellStyle name="40% - 강조색3 15" xfId="371" xr:uid="{00000000-0005-0000-0000-0000DE030000}"/>
    <cellStyle name="40% - 강조색3 15 2" xfId="939" xr:uid="{00000000-0005-0000-0000-0000DF030000}"/>
    <cellStyle name="40% - 강조색3 15 3" xfId="657" xr:uid="{00000000-0005-0000-0000-0000E0030000}"/>
    <cellStyle name="40% - 강조색3 16" xfId="385" xr:uid="{00000000-0005-0000-0000-0000E1030000}"/>
    <cellStyle name="40% - 강조색3 16 2" xfId="953" xr:uid="{00000000-0005-0000-0000-0000E2030000}"/>
    <cellStyle name="40% - 강조색3 16 3" xfId="671" xr:uid="{00000000-0005-0000-0000-0000E3030000}"/>
    <cellStyle name="40% - 강조색3 17" xfId="399" xr:uid="{00000000-0005-0000-0000-0000E4030000}"/>
    <cellStyle name="40% - 강조색3 17 2" xfId="967" xr:uid="{00000000-0005-0000-0000-0000E5030000}"/>
    <cellStyle name="40% - 강조색3 17 3" xfId="685" xr:uid="{00000000-0005-0000-0000-0000E6030000}"/>
    <cellStyle name="40% - 강조색3 18" xfId="413" xr:uid="{00000000-0005-0000-0000-0000E7030000}"/>
    <cellStyle name="40% - 강조색3 18 2" xfId="981" xr:uid="{00000000-0005-0000-0000-0000E8030000}"/>
    <cellStyle name="40% - 강조색3 18 3" xfId="699" xr:uid="{00000000-0005-0000-0000-0000E9030000}"/>
    <cellStyle name="40% - 강조색3 19" xfId="427" xr:uid="{00000000-0005-0000-0000-0000EA030000}"/>
    <cellStyle name="40% - 강조색3 19 2" xfId="995" xr:uid="{00000000-0005-0000-0000-0000EB030000}"/>
    <cellStyle name="40% - 강조색3 19 3" xfId="713" xr:uid="{00000000-0005-0000-0000-0000EC030000}"/>
    <cellStyle name="40% - 강조색3 2" xfId="33" xr:uid="{00000000-0005-0000-0000-0000ED030000}"/>
    <cellStyle name="40% - 강조색3 20" xfId="441" xr:uid="{00000000-0005-0000-0000-0000EE030000}"/>
    <cellStyle name="40% - 강조색3 20 2" xfId="1009" xr:uid="{00000000-0005-0000-0000-0000EF030000}"/>
    <cellStyle name="40% - 강조색3 20 3" xfId="727" xr:uid="{00000000-0005-0000-0000-0000F0030000}"/>
    <cellStyle name="40% - 강조색3 21" xfId="455" xr:uid="{00000000-0005-0000-0000-0000F1030000}"/>
    <cellStyle name="40% - 강조색3 21 2" xfId="1023" xr:uid="{00000000-0005-0000-0000-0000F2030000}"/>
    <cellStyle name="40% - 강조색3 21 3" xfId="741" xr:uid="{00000000-0005-0000-0000-0000F3030000}"/>
    <cellStyle name="40% - 강조색3 22" xfId="469" xr:uid="{00000000-0005-0000-0000-0000F4030000}"/>
    <cellStyle name="40% - 강조색3 22 2" xfId="1037" xr:uid="{00000000-0005-0000-0000-0000F5030000}"/>
    <cellStyle name="40% - 강조색3 22 3" xfId="755" xr:uid="{00000000-0005-0000-0000-0000F6030000}"/>
    <cellStyle name="40% - 강조색3 23" xfId="483" xr:uid="{00000000-0005-0000-0000-0000F7030000}"/>
    <cellStyle name="40% - 강조색3 23 2" xfId="1051" xr:uid="{00000000-0005-0000-0000-0000F8030000}"/>
    <cellStyle name="40% - 강조색3 23 3" xfId="769" xr:uid="{00000000-0005-0000-0000-0000F9030000}"/>
    <cellStyle name="40% - 강조색3 24" xfId="497" xr:uid="{00000000-0005-0000-0000-0000FA030000}"/>
    <cellStyle name="40% - 강조색3 24 2" xfId="1065" xr:uid="{00000000-0005-0000-0000-0000FB030000}"/>
    <cellStyle name="40% - 강조색3 24 3" xfId="783" xr:uid="{00000000-0005-0000-0000-0000FC030000}"/>
    <cellStyle name="40% - 강조색3 25" xfId="513" xr:uid="{00000000-0005-0000-0000-0000FD030000}"/>
    <cellStyle name="40% - 강조색3 25 2" xfId="799" xr:uid="{00000000-0005-0000-0000-0000FE030000}"/>
    <cellStyle name="40% - 강조색3 26" xfId="811" xr:uid="{00000000-0005-0000-0000-0000FF030000}"/>
    <cellStyle name="40% - 강조색3 27" xfId="527" xr:uid="{00000000-0005-0000-0000-000000040000}"/>
    <cellStyle name="40% - 강조색3 28" xfId="1079" xr:uid="{00000000-0005-0000-0000-000001040000}"/>
    <cellStyle name="40% - 강조색3 29" xfId="1093" xr:uid="{00000000-0005-0000-0000-000002040000}"/>
    <cellStyle name="40% - 강조색3 3" xfId="34" xr:uid="{00000000-0005-0000-0000-000003040000}"/>
    <cellStyle name="40% - 강조색3 30" xfId="1107" xr:uid="{00000000-0005-0000-0000-000004040000}"/>
    <cellStyle name="40% - 강조색3 31" xfId="1121" xr:uid="{00000000-0005-0000-0000-000005040000}"/>
    <cellStyle name="40% - 강조색3 32" xfId="1135" xr:uid="{00000000-0005-0000-0000-000006040000}"/>
    <cellStyle name="40% - 강조색3 33" xfId="1149" xr:uid="{00000000-0005-0000-0000-000007040000}"/>
    <cellStyle name="40% - 강조색3 34" xfId="1163" xr:uid="{00000000-0005-0000-0000-000008040000}"/>
    <cellStyle name="40% - 강조색3 35" xfId="1177" xr:uid="{00000000-0005-0000-0000-000009040000}"/>
    <cellStyle name="40% - 강조색3 36" xfId="1191" xr:uid="{00000000-0005-0000-0000-00000A040000}"/>
    <cellStyle name="40% - 강조색3 37" xfId="1205" xr:uid="{00000000-0005-0000-0000-00000B040000}"/>
    <cellStyle name="40% - 강조색3 38" xfId="1219" xr:uid="{00000000-0005-0000-0000-00000C040000}"/>
    <cellStyle name="40% - 강조색3 39" xfId="1233" xr:uid="{00000000-0005-0000-0000-00000D040000}"/>
    <cellStyle name="40% - 강조색3 4" xfId="35" xr:uid="{00000000-0005-0000-0000-00000E040000}"/>
    <cellStyle name="40% - 강조색3 40" xfId="1247" xr:uid="{00000000-0005-0000-0000-00000F040000}"/>
    <cellStyle name="40% - 강조색3 41" xfId="1261" xr:uid="{00000000-0005-0000-0000-000010040000}"/>
    <cellStyle name="40% - 강조색3 42" xfId="1275" xr:uid="{00000000-0005-0000-0000-000011040000}"/>
    <cellStyle name="40% - 강조색3 43" xfId="1289" xr:uid="{00000000-0005-0000-0000-000012040000}"/>
    <cellStyle name="40% - 강조색3 44" xfId="1303" xr:uid="{00000000-0005-0000-0000-000013040000}"/>
    <cellStyle name="40% - 강조색3 45" xfId="1317" xr:uid="{00000000-0005-0000-0000-000014040000}"/>
    <cellStyle name="40% - 강조색3 46" xfId="1331" xr:uid="{00000000-0005-0000-0000-000015040000}"/>
    <cellStyle name="40% - 강조색3 47" xfId="1345" xr:uid="{00000000-0005-0000-0000-000016040000}"/>
    <cellStyle name="40% - 강조색3 48" xfId="1359" xr:uid="{00000000-0005-0000-0000-000017040000}"/>
    <cellStyle name="40% - 강조색3 49" xfId="1373" xr:uid="{00000000-0005-0000-0000-000018040000}"/>
    <cellStyle name="40% - 강조색3 5" xfId="36" xr:uid="{00000000-0005-0000-0000-000019040000}"/>
    <cellStyle name="40% - 강조색3 50" xfId="1387" xr:uid="{00000000-0005-0000-0000-00001A040000}"/>
    <cellStyle name="40% - 강조색3 51" xfId="1401" xr:uid="{00000000-0005-0000-0000-00001B040000}"/>
    <cellStyle name="40% - 강조색3 52" xfId="1415" xr:uid="{00000000-0005-0000-0000-00001C040000}"/>
    <cellStyle name="40% - 강조색3 53" xfId="1430" xr:uid="{00000000-0005-0000-0000-00001D040000}"/>
    <cellStyle name="40% - 강조색3 54" xfId="1444" xr:uid="{00000000-0005-0000-0000-00001E040000}"/>
    <cellStyle name="40% - 강조색3 55" xfId="1458" xr:uid="{00000000-0005-0000-0000-00001F040000}"/>
    <cellStyle name="40% - 강조색3 56" xfId="1472" xr:uid="{00000000-0005-0000-0000-000020040000}"/>
    <cellStyle name="40% - 강조색3 57" xfId="1486" xr:uid="{00000000-0005-0000-0000-000021040000}"/>
    <cellStyle name="40% - 강조색3 58" xfId="1500" xr:uid="{00000000-0005-0000-0000-000022040000}"/>
    <cellStyle name="40% - 강조색3 59" xfId="1514" xr:uid="{00000000-0005-0000-0000-000023040000}"/>
    <cellStyle name="40% - 강조색3 6" xfId="215" xr:uid="{00000000-0005-0000-0000-000024040000}"/>
    <cellStyle name="40% - 강조색3 6 2" xfId="825" xr:uid="{00000000-0005-0000-0000-000025040000}"/>
    <cellStyle name="40% - 강조색3 6 3" xfId="543" xr:uid="{00000000-0005-0000-0000-000026040000}"/>
    <cellStyle name="40% - 강조색3 60" xfId="1528" xr:uid="{00000000-0005-0000-0000-000027040000}"/>
    <cellStyle name="40% - 강조색3 61" xfId="1542" xr:uid="{00000000-0005-0000-0000-000028040000}"/>
    <cellStyle name="40% - 강조색3 62" xfId="1556" xr:uid="{00000000-0005-0000-0000-000029040000}"/>
    <cellStyle name="40% - 강조색3 63" xfId="1570" xr:uid="{00000000-0005-0000-0000-00002A040000}"/>
    <cellStyle name="40% - 강조색3 64" xfId="1584" xr:uid="{00000000-0005-0000-0000-00002B040000}"/>
    <cellStyle name="40% - 강조색3 65" xfId="1598" xr:uid="{00000000-0005-0000-0000-00002C040000}"/>
    <cellStyle name="40% - 강조색3 66" xfId="1612" xr:uid="{00000000-0005-0000-0000-00002D040000}"/>
    <cellStyle name="40% - 강조색3 67" xfId="1626" xr:uid="{00000000-0005-0000-0000-00002E040000}"/>
    <cellStyle name="40% - 강조색3 68" xfId="1640" xr:uid="{00000000-0005-0000-0000-00002F040000}"/>
    <cellStyle name="40% - 강조색3 69" xfId="1654" xr:uid="{00000000-0005-0000-0000-000030040000}"/>
    <cellStyle name="40% - 강조색3 7" xfId="232" xr:uid="{00000000-0005-0000-0000-000031040000}"/>
    <cellStyle name="40% - 강조색3 7 2" xfId="841" xr:uid="{00000000-0005-0000-0000-000032040000}"/>
    <cellStyle name="40% - 강조색3 7 3" xfId="559" xr:uid="{00000000-0005-0000-0000-000033040000}"/>
    <cellStyle name="40% - 강조색3 70" xfId="1668" xr:uid="{00000000-0005-0000-0000-000034040000}"/>
    <cellStyle name="40% - 강조색3 71" xfId="1682" xr:uid="{00000000-0005-0000-0000-000035040000}"/>
    <cellStyle name="40% - 강조색3 72" xfId="1696" xr:uid="{00000000-0005-0000-0000-000036040000}"/>
    <cellStyle name="40% - 강조색3 73" xfId="1710" xr:uid="{00000000-0005-0000-0000-000037040000}"/>
    <cellStyle name="40% - 강조색3 74" xfId="1724" xr:uid="{00000000-0005-0000-0000-000038040000}"/>
    <cellStyle name="40% - 강조색3 75" xfId="1741" xr:uid="{00000000-0005-0000-0000-000039040000}"/>
    <cellStyle name="40% - 강조색3 76" xfId="1761" xr:uid="{00000000-0005-0000-0000-00003A040000}"/>
    <cellStyle name="40% - 강조색3 77" xfId="1781" xr:uid="{00000000-0005-0000-0000-00003B040000}"/>
    <cellStyle name="40% - 강조색3 78" xfId="1802" xr:uid="{00000000-0005-0000-0000-00003C040000}"/>
    <cellStyle name="40% - 강조색3 79" xfId="1820" xr:uid="{00000000-0005-0000-0000-00003D040000}"/>
    <cellStyle name="40% - 강조색3 8" xfId="246" xr:uid="{00000000-0005-0000-0000-00003E040000}"/>
    <cellStyle name="40% - 강조색3 8 2" xfId="855" xr:uid="{00000000-0005-0000-0000-00003F040000}"/>
    <cellStyle name="40% - 강조색3 8 3" xfId="573" xr:uid="{00000000-0005-0000-0000-000040040000}"/>
    <cellStyle name="40% - 강조색3 80" xfId="1834" xr:uid="{00000000-0005-0000-0000-000041040000}"/>
    <cellStyle name="40% - 강조색3 81" xfId="1848" xr:uid="{00000000-0005-0000-0000-000042040000}"/>
    <cellStyle name="40% - 강조색3 82" xfId="1862" xr:uid="{00000000-0005-0000-0000-000043040000}"/>
    <cellStyle name="40% - 강조색3 83" xfId="1876" xr:uid="{00000000-0005-0000-0000-000044040000}"/>
    <cellStyle name="40% - 강조색3 84" xfId="1890" xr:uid="{00000000-0005-0000-0000-000045040000}"/>
    <cellStyle name="40% - 강조색3 85" xfId="1904" xr:uid="{00000000-0005-0000-0000-000046040000}"/>
    <cellStyle name="40% - 강조색3 9" xfId="260" xr:uid="{00000000-0005-0000-0000-000047040000}"/>
    <cellStyle name="40% - 강조색3 9 2" xfId="869" xr:uid="{00000000-0005-0000-0000-000048040000}"/>
    <cellStyle name="40% - 강조색3 9 3" xfId="587" xr:uid="{00000000-0005-0000-0000-000049040000}"/>
    <cellStyle name="40% - 강조색4" xfId="198" builtinId="43" customBuiltin="1"/>
    <cellStyle name="40% - 강조색4 10" xfId="298" xr:uid="{00000000-0005-0000-0000-00004B040000}"/>
    <cellStyle name="40% - 강조색4 10 2" xfId="885" xr:uid="{00000000-0005-0000-0000-00004C040000}"/>
    <cellStyle name="40% - 강조색4 10 3" xfId="603" xr:uid="{00000000-0005-0000-0000-00004D040000}"/>
    <cellStyle name="40% - 강조색4 11" xfId="317" xr:uid="{00000000-0005-0000-0000-00004E040000}"/>
    <cellStyle name="40% - 강조색4 12" xfId="331" xr:uid="{00000000-0005-0000-0000-00004F040000}"/>
    <cellStyle name="40% - 강조색4 12 2" xfId="899" xr:uid="{00000000-0005-0000-0000-000050040000}"/>
    <cellStyle name="40% - 강조색4 12 3" xfId="617" xr:uid="{00000000-0005-0000-0000-000051040000}"/>
    <cellStyle name="40% - 강조색4 13" xfId="345" xr:uid="{00000000-0005-0000-0000-000052040000}"/>
    <cellStyle name="40% - 강조색4 13 2" xfId="913" xr:uid="{00000000-0005-0000-0000-000053040000}"/>
    <cellStyle name="40% - 강조색4 13 3" xfId="631" xr:uid="{00000000-0005-0000-0000-000054040000}"/>
    <cellStyle name="40% - 강조색4 14" xfId="359" xr:uid="{00000000-0005-0000-0000-000055040000}"/>
    <cellStyle name="40% - 강조색4 14 2" xfId="927" xr:uid="{00000000-0005-0000-0000-000056040000}"/>
    <cellStyle name="40% - 강조색4 14 3" xfId="645" xr:uid="{00000000-0005-0000-0000-000057040000}"/>
    <cellStyle name="40% - 강조색4 15" xfId="373" xr:uid="{00000000-0005-0000-0000-000058040000}"/>
    <cellStyle name="40% - 강조색4 15 2" xfId="941" xr:uid="{00000000-0005-0000-0000-000059040000}"/>
    <cellStyle name="40% - 강조색4 15 3" xfId="659" xr:uid="{00000000-0005-0000-0000-00005A040000}"/>
    <cellStyle name="40% - 강조색4 16" xfId="387" xr:uid="{00000000-0005-0000-0000-00005B040000}"/>
    <cellStyle name="40% - 강조색4 16 2" xfId="955" xr:uid="{00000000-0005-0000-0000-00005C040000}"/>
    <cellStyle name="40% - 강조색4 16 3" xfId="673" xr:uid="{00000000-0005-0000-0000-00005D040000}"/>
    <cellStyle name="40% - 강조색4 17" xfId="401" xr:uid="{00000000-0005-0000-0000-00005E040000}"/>
    <cellStyle name="40% - 강조색4 17 2" xfId="969" xr:uid="{00000000-0005-0000-0000-00005F040000}"/>
    <cellStyle name="40% - 강조색4 17 3" xfId="687" xr:uid="{00000000-0005-0000-0000-000060040000}"/>
    <cellStyle name="40% - 강조색4 18" xfId="415" xr:uid="{00000000-0005-0000-0000-000061040000}"/>
    <cellStyle name="40% - 강조색4 18 2" xfId="983" xr:uid="{00000000-0005-0000-0000-000062040000}"/>
    <cellStyle name="40% - 강조색4 18 3" xfId="701" xr:uid="{00000000-0005-0000-0000-000063040000}"/>
    <cellStyle name="40% - 강조색4 19" xfId="429" xr:uid="{00000000-0005-0000-0000-000064040000}"/>
    <cellStyle name="40% - 강조색4 19 2" xfId="997" xr:uid="{00000000-0005-0000-0000-000065040000}"/>
    <cellStyle name="40% - 강조색4 19 3" xfId="715" xr:uid="{00000000-0005-0000-0000-000066040000}"/>
    <cellStyle name="40% - 강조색4 2" xfId="37" xr:uid="{00000000-0005-0000-0000-000067040000}"/>
    <cellStyle name="40% - 강조색4 20" xfId="443" xr:uid="{00000000-0005-0000-0000-000068040000}"/>
    <cellStyle name="40% - 강조색4 20 2" xfId="1011" xr:uid="{00000000-0005-0000-0000-000069040000}"/>
    <cellStyle name="40% - 강조색4 20 3" xfId="729" xr:uid="{00000000-0005-0000-0000-00006A040000}"/>
    <cellStyle name="40% - 강조색4 21" xfId="457" xr:uid="{00000000-0005-0000-0000-00006B040000}"/>
    <cellStyle name="40% - 강조색4 21 2" xfId="1025" xr:uid="{00000000-0005-0000-0000-00006C040000}"/>
    <cellStyle name="40% - 강조색4 21 3" xfId="743" xr:uid="{00000000-0005-0000-0000-00006D040000}"/>
    <cellStyle name="40% - 강조색4 22" xfId="471" xr:uid="{00000000-0005-0000-0000-00006E040000}"/>
    <cellStyle name="40% - 강조색4 22 2" xfId="1039" xr:uid="{00000000-0005-0000-0000-00006F040000}"/>
    <cellStyle name="40% - 강조색4 22 3" xfId="757" xr:uid="{00000000-0005-0000-0000-000070040000}"/>
    <cellStyle name="40% - 강조색4 23" xfId="485" xr:uid="{00000000-0005-0000-0000-000071040000}"/>
    <cellStyle name="40% - 강조색4 23 2" xfId="1053" xr:uid="{00000000-0005-0000-0000-000072040000}"/>
    <cellStyle name="40% - 강조색4 23 3" xfId="771" xr:uid="{00000000-0005-0000-0000-000073040000}"/>
    <cellStyle name="40% - 강조색4 24" xfId="499" xr:uid="{00000000-0005-0000-0000-000074040000}"/>
    <cellStyle name="40% - 강조색4 24 2" xfId="1067" xr:uid="{00000000-0005-0000-0000-000075040000}"/>
    <cellStyle name="40% - 강조색4 24 3" xfId="785" xr:uid="{00000000-0005-0000-0000-000076040000}"/>
    <cellStyle name="40% - 강조색4 25" xfId="515" xr:uid="{00000000-0005-0000-0000-000077040000}"/>
    <cellStyle name="40% - 강조색4 25 2" xfId="801" xr:uid="{00000000-0005-0000-0000-000078040000}"/>
    <cellStyle name="40% - 강조색4 26" xfId="813" xr:uid="{00000000-0005-0000-0000-000079040000}"/>
    <cellStyle name="40% - 강조색4 27" xfId="529" xr:uid="{00000000-0005-0000-0000-00007A040000}"/>
    <cellStyle name="40% - 강조색4 28" xfId="1081" xr:uid="{00000000-0005-0000-0000-00007B040000}"/>
    <cellStyle name="40% - 강조색4 29" xfId="1095" xr:uid="{00000000-0005-0000-0000-00007C040000}"/>
    <cellStyle name="40% - 강조색4 3" xfId="38" xr:uid="{00000000-0005-0000-0000-00007D040000}"/>
    <cellStyle name="40% - 강조색4 30" xfId="1109" xr:uid="{00000000-0005-0000-0000-00007E040000}"/>
    <cellStyle name="40% - 강조색4 31" xfId="1123" xr:uid="{00000000-0005-0000-0000-00007F040000}"/>
    <cellStyle name="40% - 강조색4 32" xfId="1137" xr:uid="{00000000-0005-0000-0000-000080040000}"/>
    <cellStyle name="40% - 강조색4 33" xfId="1151" xr:uid="{00000000-0005-0000-0000-000081040000}"/>
    <cellStyle name="40% - 강조색4 34" xfId="1165" xr:uid="{00000000-0005-0000-0000-000082040000}"/>
    <cellStyle name="40% - 강조색4 35" xfId="1179" xr:uid="{00000000-0005-0000-0000-000083040000}"/>
    <cellStyle name="40% - 강조색4 36" xfId="1193" xr:uid="{00000000-0005-0000-0000-000084040000}"/>
    <cellStyle name="40% - 강조색4 37" xfId="1207" xr:uid="{00000000-0005-0000-0000-000085040000}"/>
    <cellStyle name="40% - 강조색4 38" xfId="1221" xr:uid="{00000000-0005-0000-0000-000086040000}"/>
    <cellStyle name="40% - 강조색4 39" xfId="1235" xr:uid="{00000000-0005-0000-0000-000087040000}"/>
    <cellStyle name="40% - 강조색4 4" xfId="39" xr:uid="{00000000-0005-0000-0000-000088040000}"/>
    <cellStyle name="40% - 강조색4 40" xfId="1249" xr:uid="{00000000-0005-0000-0000-000089040000}"/>
    <cellStyle name="40% - 강조색4 41" xfId="1263" xr:uid="{00000000-0005-0000-0000-00008A040000}"/>
    <cellStyle name="40% - 강조색4 42" xfId="1277" xr:uid="{00000000-0005-0000-0000-00008B040000}"/>
    <cellStyle name="40% - 강조색4 43" xfId="1291" xr:uid="{00000000-0005-0000-0000-00008C040000}"/>
    <cellStyle name="40% - 강조색4 44" xfId="1305" xr:uid="{00000000-0005-0000-0000-00008D040000}"/>
    <cellStyle name="40% - 강조색4 45" xfId="1319" xr:uid="{00000000-0005-0000-0000-00008E040000}"/>
    <cellStyle name="40% - 강조색4 46" xfId="1333" xr:uid="{00000000-0005-0000-0000-00008F040000}"/>
    <cellStyle name="40% - 강조색4 47" xfId="1347" xr:uid="{00000000-0005-0000-0000-000090040000}"/>
    <cellStyle name="40% - 강조색4 48" xfId="1361" xr:uid="{00000000-0005-0000-0000-000091040000}"/>
    <cellStyle name="40% - 강조색4 49" xfId="1375" xr:uid="{00000000-0005-0000-0000-000092040000}"/>
    <cellStyle name="40% - 강조색4 5" xfId="40" xr:uid="{00000000-0005-0000-0000-000093040000}"/>
    <cellStyle name="40% - 강조색4 50" xfId="1389" xr:uid="{00000000-0005-0000-0000-000094040000}"/>
    <cellStyle name="40% - 강조색4 51" xfId="1403" xr:uid="{00000000-0005-0000-0000-000095040000}"/>
    <cellStyle name="40% - 강조색4 52" xfId="1417" xr:uid="{00000000-0005-0000-0000-000096040000}"/>
    <cellStyle name="40% - 강조색4 53" xfId="1432" xr:uid="{00000000-0005-0000-0000-000097040000}"/>
    <cellStyle name="40% - 강조색4 54" xfId="1446" xr:uid="{00000000-0005-0000-0000-000098040000}"/>
    <cellStyle name="40% - 강조색4 55" xfId="1460" xr:uid="{00000000-0005-0000-0000-000099040000}"/>
    <cellStyle name="40% - 강조색4 56" xfId="1474" xr:uid="{00000000-0005-0000-0000-00009A040000}"/>
    <cellStyle name="40% - 강조색4 57" xfId="1488" xr:uid="{00000000-0005-0000-0000-00009B040000}"/>
    <cellStyle name="40% - 강조색4 58" xfId="1502" xr:uid="{00000000-0005-0000-0000-00009C040000}"/>
    <cellStyle name="40% - 강조색4 59" xfId="1516" xr:uid="{00000000-0005-0000-0000-00009D040000}"/>
    <cellStyle name="40% - 강조색4 6" xfId="217" xr:uid="{00000000-0005-0000-0000-00009E040000}"/>
    <cellStyle name="40% - 강조색4 6 2" xfId="827" xr:uid="{00000000-0005-0000-0000-00009F040000}"/>
    <cellStyle name="40% - 강조색4 6 3" xfId="545" xr:uid="{00000000-0005-0000-0000-0000A0040000}"/>
    <cellStyle name="40% - 강조색4 60" xfId="1530" xr:uid="{00000000-0005-0000-0000-0000A1040000}"/>
    <cellStyle name="40% - 강조색4 61" xfId="1544" xr:uid="{00000000-0005-0000-0000-0000A2040000}"/>
    <cellStyle name="40% - 강조색4 62" xfId="1558" xr:uid="{00000000-0005-0000-0000-0000A3040000}"/>
    <cellStyle name="40% - 강조색4 63" xfId="1572" xr:uid="{00000000-0005-0000-0000-0000A4040000}"/>
    <cellStyle name="40% - 강조색4 64" xfId="1586" xr:uid="{00000000-0005-0000-0000-0000A5040000}"/>
    <cellStyle name="40% - 강조색4 65" xfId="1600" xr:uid="{00000000-0005-0000-0000-0000A6040000}"/>
    <cellStyle name="40% - 강조색4 66" xfId="1614" xr:uid="{00000000-0005-0000-0000-0000A7040000}"/>
    <cellStyle name="40% - 강조색4 67" xfId="1628" xr:uid="{00000000-0005-0000-0000-0000A8040000}"/>
    <cellStyle name="40% - 강조색4 68" xfId="1642" xr:uid="{00000000-0005-0000-0000-0000A9040000}"/>
    <cellStyle name="40% - 강조색4 69" xfId="1656" xr:uid="{00000000-0005-0000-0000-0000AA040000}"/>
    <cellStyle name="40% - 강조색4 7" xfId="234" xr:uid="{00000000-0005-0000-0000-0000AB040000}"/>
    <cellStyle name="40% - 강조색4 7 2" xfId="843" xr:uid="{00000000-0005-0000-0000-0000AC040000}"/>
    <cellStyle name="40% - 강조색4 7 3" xfId="561" xr:uid="{00000000-0005-0000-0000-0000AD040000}"/>
    <cellStyle name="40% - 강조색4 70" xfId="1670" xr:uid="{00000000-0005-0000-0000-0000AE040000}"/>
    <cellStyle name="40% - 강조색4 71" xfId="1684" xr:uid="{00000000-0005-0000-0000-0000AF040000}"/>
    <cellStyle name="40% - 강조색4 72" xfId="1698" xr:uid="{00000000-0005-0000-0000-0000B0040000}"/>
    <cellStyle name="40% - 강조색4 73" xfId="1712" xr:uid="{00000000-0005-0000-0000-0000B1040000}"/>
    <cellStyle name="40% - 강조색4 74" xfId="1726" xr:uid="{00000000-0005-0000-0000-0000B2040000}"/>
    <cellStyle name="40% - 강조색4 75" xfId="1744" xr:uid="{00000000-0005-0000-0000-0000B3040000}"/>
    <cellStyle name="40% - 강조색4 76" xfId="1764" xr:uid="{00000000-0005-0000-0000-0000B4040000}"/>
    <cellStyle name="40% - 강조색4 77" xfId="1784" xr:uid="{00000000-0005-0000-0000-0000B5040000}"/>
    <cellStyle name="40% - 강조색4 78" xfId="1805" xr:uid="{00000000-0005-0000-0000-0000B6040000}"/>
    <cellStyle name="40% - 강조색4 79" xfId="1822" xr:uid="{00000000-0005-0000-0000-0000B7040000}"/>
    <cellStyle name="40% - 강조색4 8" xfId="248" xr:uid="{00000000-0005-0000-0000-0000B8040000}"/>
    <cellStyle name="40% - 강조색4 8 2" xfId="857" xr:uid="{00000000-0005-0000-0000-0000B9040000}"/>
    <cellStyle name="40% - 강조색4 8 3" xfId="575" xr:uid="{00000000-0005-0000-0000-0000BA040000}"/>
    <cellStyle name="40% - 강조색4 80" xfId="1836" xr:uid="{00000000-0005-0000-0000-0000BB040000}"/>
    <cellStyle name="40% - 강조색4 81" xfId="1850" xr:uid="{00000000-0005-0000-0000-0000BC040000}"/>
    <cellStyle name="40% - 강조색4 82" xfId="1864" xr:uid="{00000000-0005-0000-0000-0000BD040000}"/>
    <cellStyle name="40% - 강조색4 83" xfId="1878" xr:uid="{00000000-0005-0000-0000-0000BE040000}"/>
    <cellStyle name="40% - 강조색4 84" xfId="1892" xr:uid="{00000000-0005-0000-0000-0000BF040000}"/>
    <cellStyle name="40% - 강조색4 85" xfId="1906" xr:uid="{00000000-0005-0000-0000-0000C0040000}"/>
    <cellStyle name="40% - 강조색4 9" xfId="262" xr:uid="{00000000-0005-0000-0000-0000C1040000}"/>
    <cellStyle name="40% - 강조색4 9 2" xfId="871" xr:uid="{00000000-0005-0000-0000-0000C2040000}"/>
    <cellStyle name="40% - 강조색4 9 3" xfId="589" xr:uid="{00000000-0005-0000-0000-0000C3040000}"/>
    <cellStyle name="40% - 강조색5" xfId="202" builtinId="47" customBuiltin="1"/>
    <cellStyle name="40% - 강조색5 10" xfId="302" xr:uid="{00000000-0005-0000-0000-0000C5040000}"/>
    <cellStyle name="40% - 강조색5 10 2" xfId="887" xr:uid="{00000000-0005-0000-0000-0000C6040000}"/>
    <cellStyle name="40% - 강조색5 10 3" xfId="605" xr:uid="{00000000-0005-0000-0000-0000C7040000}"/>
    <cellStyle name="40% - 강조색5 11" xfId="319" xr:uid="{00000000-0005-0000-0000-0000C8040000}"/>
    <cellStyle name="40% - 강조색5 12" xfId="333" xr:uid="{00000000-0005-0000-0000-0000C9040000}"/>
    <cellStyle name="40% - 강조색5 12 2" xfId="901" xr:uid="{00000000-0005-0000-0000-0000CA040000}"/>
    <cellStyle name="40% - 강조색5 12 3" xfId="619" xr:uid="{00000000-0005-0000-0000-0000CB040000}"/>
    <cellStyle name="40% - 강조색5 13" xfId="347" xr:uid="{00000000-0005-0000-0000-0000CC040000}"/>
    <cellStyle name="40% - 강조색5 13 2" xfId="915" xr:uid="{00000000-0005-0000-0000-0000CD040000}"/>
    <cellStyle name="40% - 강조색5 13 3" xfId="633" xr:uid="{00000000-0005-0000-0000-0000CE040000}"/>
    <cellStyle name="40% - 강조색5 14" xfId="361" xr:uid="{00000000-0005-0000-0000-0000CF040000}"/>
    <cellStyle name="40% - 강조색5 14 2" xfId="929" xr:uid="{00000000-0005-0000-0000-0000D0040000}"/>
    <cellStyle name="40% - 강조색5 14 3" xfId="647" xr:uid="{00000000-0005-0000-0000-0000D1040000}"/>
    <cellStyle name="40% - 강조색5 15" xfId="375" xr:uid="{00000000-0005-0000-0000-0000D2040000}"/>
    <cellStyle name="40% - 강조색5 15 2" xfId="943" xr:uid="{00000000-0005-0000-0000-0000D3040000}"/>
    <cellStyle name="40% - 강조색5 15 3" xfId="661" xr:uid="{00000000-0005-0000-0000-0000D4040000}"/>
    <cellStyle name="40% - 강조색5 16" xfId="389" xr:uid="{00000000-0005-0000-0000-0000D5040000}"/>
    <cellStyle name="40% - 강조색5 16 2" xfId="957" xr:uid="{00000000-0005-0000-0000-0000D6040000}"/>
    <cellStyle name="40% - 강조색5 16 3" xfId="675" xr:uid="{00000000-0005-0000-0000-0000D7040000}"/>
    <cellStyle name="40% - 강조색5 17" xfId="403" xr:uid="{00000000-0005-0000-0000-0000D8040000}"/>
    <cellStyle name="40% - 강조색5 17 2" xfId="971" xr:uid="{00000000-0005-0000-0000-0000D9040000}"/>
    <cellStyle name="40% - 강조색5 17 3" xfId="689" xr:uid="{00000000-0005-0000-0000-0000DA040000}"/>
    <cellStyle name="40% - 강조색5 18" xfId="417" xr:uid="{00000000-0005-0000-0000-0000DB040000}"/>
    <cellStyle name="40% - 강조색5 18 2" xfId="985" xr:uid="{00000000-0005-0000-0000-0000DC040000}"/>
    <cellStyle name="40% - 강조색5 18 3" xfId="703" xr:uid="{00000000-0005-0000-0000-0000DD040000}"/>
    <cellStyle name="40% - 강조색5 19" xfId="431" xr:uid="{00000000-0005-0000-0000-0000DE040000}"/>
    <cellStyle name="40% - 강조색5 19 2" xfId="999" xr:uid="{00000000-0005-0000-0000-0000DF040000}"/>
    <cellStyle name="40% - 강조색5 19 3" xfId="717" xr:uid="{00000000-0005-0000-0000-0000E0040000}"/>
    <cellStyle name="40% - 강조색5 2" xfId="41" xr:uid="{00000000-0005-0000-0000-0000E1040000}"/>
    <cellStyle name="40% - 강조색5 20" xfId="445" xr:uid="{00000000-0005-0000-0000-0000E2040000}"/>
    <cellStyle name="40% - 강조색5 20 2" xfId="1013" xr:uid="{00000000-0005-0000-0000-0000E3040000}"/>
    <cellStyle name="40% - 강조색5 20 3" xfId="731" xr:uid="{00000000-0005-0000-0000-0000E4040000}"/>
    <cellStyle name="40% - 강조색5 21" xfId="459" xr:uid="{00000000-0005-0000-0000-0000E5040000}"/>
    <cellStyle name="40% - 강조색5 21 2" xfId="1027" xr:uid="{00000000-0005-0000-0000-0000E6040000}"/>
    <cellStyle name="40% - 강조색5 21 3" xfId="745" xr:uid="{00000000-0005-0000-0000-0000E7040000}"/>
    <cellStyle name="40% - 강조색5 22" xfId="473" xr:uid="{00000000-0005-0000-0000-0000E8040000}"/>
    <cellStyle name="40% - 강조색5 22 2" xfId="1041" xr:uid="{00000000-0005-0000-0000-0000E9040000}"/>
    <cellStyle name="40% - 강조색5 22 3" xfId="759" xr:uid="{00000000-0005-0000-0000-0000EA040000}"/>
    <cellStyle name="40% - 강조색5 23" xfId="487" xr:uid="{00000000-0005-0000-0000-0000EB040000}"/>
    <cellStyle name="40% - 강조색5 23 2" xfId="1055" xr:uid="{00000000-0005-0000-0000-0000EC040000}"/>
    <cellStyle name="40% - 강조색5 23 3" xfId="773" xr:uid="{00000000-0005-0000-0000-0000ED040000}"/>
    <cellStyle name="40% - 강조색5 24" xfId="501" xr:uid="{00000000-0005-0000-0000-0000EE040000}"/>
    <cellStyle name="40% - 강조색5 24 2" xfId="1069" xr:uid="{00000000-0005-0000-0000-0000EF040000}"/>
    <cellStyle name="40% - 강조색5 24 3" xfId="787" xr:uid="{00000000-0005-0000-0000-0000F0040000}"/>
    <cellStyle name="40% - 강조색5 25" xfId="517" xr:uid="{00000000-0005-0000-0000-0000F1040000}"/>
    <cellStyle name="40% - 강조색5 25 2" xfId="803" xr:uid="{00000000-0005-0000-0000-0000F2040000}"/>
    <cellStyle name="40% - 강조색5 26" xfId="815" xr:uid="{00000000-0005-0000-0000-0000F3040000}"/>
    <cellStyle name="40% - 강조색5 27" xfId="531" xr:uid="{00000000-0005-0000-0000-0000F4040000}"/>
    <cellStyle name="40% - 강조색5 28" xfId="1083" xr:uid="{00000000-0005-0000-0000-0000F5040000}"/>
    <cellStyle name="40% - 강조색5 29" xfId="1097" xr:uid="{00000000-0005-0000-0000-0000F6040000}"/>
    <cellStyle name="40% - 강조색5 3" xfId="42" xr:uid="{00000000-0005-0000-0000-0000F7040000}"/>
    <cellStyle name="40% - 강조색5 30" xfId="1111" xr:uid="{00000000-0005-0000-0000-0000F8040000}"/>
    <cellStyle name="40% - 강조색5 31" xfId="1125" xr:uid="{00000000-0005-0000-0000-0000F9040000}"/>
    <cellStyle name="40% - 강조색5 32" xfId="1139" xr:uid="{00000000-0005-0000-0000-0000FA040000}"/>
    <cellStyle name="40% - 강조색5 33" xfId="1153" xr:uid="{00000000-0005-0000-0000-0000FB040000}"/>
    <cellStyle name="40% - 강조색5 34" xfId="1167" xr:uid="{00000000-0005-0000-0000-0000FC040000}"/>
    <cellStyle name="40% - 강조색5 35" xfId="1181" xr:uid="{00000000-0005-0000-0000-0000FD040000}"/>
    <cellStyle name="40% - 강조색5 36" xfId="1195" xr:uid="{00000000-0005-0000-0000-0000FE040000}"/>
    <cellStyle name="40% - 강조색5 37" xfId="1209" xr:uid="{00000000-0005-0000-0000-0000FF040000}"/>
    <cellStyle name="40% - 강조색5 38" xfId="1223" xr:uid="{00000000-0005-0000-0000-000000050000}"/>
    <cellStyle name="40% - 강조색5 39" xfId="1237" xr:uid="{00000000-0005-0000-0000-000001050000}"/>
    <cellStyle name="40% - 강조색5 4" xfId="43" xr:uid="{00000000-0005-0000-0000-000002050000}"/>
    <cellStyle name="40% - 강조색5 40" xfId="1251" xr:uid="{00000000-0005-0000-0000-000003050000}"/>
    <cellStyle name="40% - 강조색5 41" xfId="1265" xr:uid="{00000000-0005-0000-0000-000004050000}"/>
    <cellStyle name="40% - 강조색5 42" xfId="1279" xr:uid="{00000000-0005-0000-0000-000005050000}"/>
    <cellStyle name="40% - 강조색5 43" xfId="1293" xr:uid="{00000000-0005-0000-0000-000006050000}"/>
    <cellStyle name="40% - 강조색5 44" xfId="1307" xr:uid="{00000000-0005-0000-0000-000007050000}"/>
    <cellStyle name="40% - 강조색5 45" xfId="1321" xr:uid="{00000000-0005-0000-0000-000008050000}"/>
    <cellStyle name="40% - 강조색5 46" xfId="1335" xr:uid="{00000000-0005-0000-0000-000009050000}"/>
    <cellStyle name="40% - 강조색5 47" xfId="1349" xr:uid="{00000000-0005-0000-0000-00000A050000}"/>
    <cellStyle name="40% - 강조색5 48" xfId="1363" xr:uid="{00000000-0005-0000-0000-00000B050000}"/>
    <cellStyle name="40% - 강조색5 49" xfId="1377" xr:uid="{00000000-0005-0000-0000-00000C050000}"/>
    <cellStyle name="40% - 강조색5 5" xfId="44" xr:uid="{00000000-0005-0000-0000-00000D050000}"/>
    <cellStyle name="40% - 강조색5 50" xfId="1391" xr:uid="{00000000-0005-0000-0000-00000E050000}"/>
    <cellStyle name="40% - 강조색5 51" xfId="1405" xr:uid="{00000000-0005-0000-0000-00000F050000}"/>
    <cellStyle name="40% - 강조색5 52" xfId="1419" xr:uid="{00000000-0005-0000-0000-000010050000}"/>
    <cellStyle name="40% - 강조색5 53" xfId="1434" xr:uid="{00000000-0005-0000-0000-000011050000}"/>
    <cellStyle name="40% - 강조색5 54" xfId="1448" xr:uid="{00000000-0005-0000-0000-000012050000}"/>
    <cellStyle name="40% - 강조색5 55" xfId="1462" xr:uid="{00000000-0005-0000-0000-000013050000}"/>
    <cellStyle name="40% - 강조색5 56" xfId="1476" xr:uid="{00000000-0005-0000-0000-000014050000}"/>
    <cellStyle name="40% - 강조색5 57" xfId="1490" xr:uid="{00000000-0005-0000-0000-000015050000}"/>
    <cellStyle name="40% - 강조색5 58" xfId="1504" xr:uid="{00000000-0005-0000-0000-000016050000}"/>
    <cellStyle name="40% - 강조색5 59" xfId="1518" xr:uid="{00000000-0005-0000-0000-000017050000}"/>
    <cellStyle name="40% - 강조색5 6" xfId="219" xr:uid="{00000000-0005-0000-0000-000018050000}"/>
    <cellStyle name="40% - 강조색5 6 2" xfId="829" xr:uid="{00000000-0005-0000-0000-000019050000}"/>
    <cellStyle name="40% - 강조색5 6 3" xfId="547" xr:uid="{00000000-0005-0000-0000-00001A050000}"/>
    <cellStyle name="40% - 강조색5 60" xfId="1532" xr:uid="{00000000-0005-0000-0000-00001B050000}"/>
    <cellStyle name="40% - 강조색5 61" xfId="1546" xr:uid="{00000000-0005-0000-0000-00001C050000}"/>
    <cellStyle name="40% - 강조색5 62" xfId="1560" xr:uid="{00000000-0005-0000-0000-00001D050000}"/>
    <cellStyle name="40% - 강조색5 63" xfId="1574" xr:uid="{00000000-0005-0000-0000-00001E050000}"/>
    <cellStyle name="40% - 강조색5 64" xfId="1588" xr:uid="{00000000-0005-0000-0000-00001F050000}"/>
    <cellStyle name="40% - 강조색5 65" xfId="1602" xr:uid="{00000000-0005-0000-0000-000020050000}"/>
    <cellStyle name="40% - 강조색5 66" xfId="1616" xr:uid="{00000000-0005-0000-0000-000021050000}"/>
    <cellStyle name="40% - 강조색5 67" xfId="1630" xr:uid="{00000000-0005-0000-0000-000022050000}"/>
    <cellStyle name="40% - 강조색5 68" xfId="1644" xr:uid="{00000000-0005-0000-0000-000023050000}"/>
    <cellStyle name="40% - 강조색5 69" xfId="1658" xr:uid="{00000000-0005-0000-0000-000024050000}"/>
    <cellStyle name="40% - 강조색5 7" xfId="236" xr:uid="{00000000-0005-0000-0000-000025050000}"/>
    <cellStyle name="40% - 강조색5 7 2" xfId="845" xr:uid="{00000000-0005-0000-0000-000026050000}"/>
    <cellStyle name="40% - 강조색5 7 3" xfId="563" xr:uid="{00000000-0005-0000-0000-000027050000}"/>
    <cellStyle name="40% - 강조색5 70" xfId="1672" xr:uid="{00000000-0005-0000-0000-000028050000}"/>
    <cellStyle name="40% - 강조색5 71" xfId="1686" xr:uid="{00000000-0005-0000-0000-000029050000}"/>
    <cellStyle name="40% - 강조색5 72" xfId="1700" xr:uid="{00000000-0005-0000-0000-00002A050000}"/>
    <cellStyle name="40% - 강조색5 73" xfId="1714" xr:uid="{00000000-0005-0000-0000-00002B050000}"/>
    <cellStyle name="40% - 강조색5 74" xfId="1728" xr:uid="{00000000-0005-0000-0000-00002C050000}"/>
    <cellStyle name="40% - 강조색5 75" xfId="1747" xr:uid="{00000000-0005-0000-0000-00002D050000}"/>
    <cellStyle name="40% - 강조색5 76" xfId="1767" xr:uid="{00000000-0005-0000-0000-00002E050000}"/>
    <cellStyle name="40% - 강조색5 77" xfId="1787" xr:uid="{00000000-0005-0000-0000-00002F050000}"/>
    <cellStyle name="40% - 강조색5 78" xfId="1808" xr:uid="{00000000-0005-0000-0000-000030050000}"/>
    <cellStyle name="40% - 강조색5 79" xfId="1824" xr:uid="{00000000-0005-0000-0000-000031050000}"/>
    <cellStyle name="40% - 강조색5 8" xfId="250" xr:uid="{00000000-0005-0000-0000-000032050000}"/>
    <cellStyle name="40% - 강조색5 8 2" xfId="859" xr:uid="{00000000-0005-0000-0000-000033050000}"/>
    <cellStyle name="40% - 강조색5 8 3" xfId="577" xr:uid="{00000000-0005-0000-0000-000034050000}"/>
    <cellStyle name="40% - 강조색5 80" xfId="1838" xr:uid="{00000000-0005-0000-0000-000035050000}"/>
    <cellStyle name="40% - 강조색5 81" xfId="1852" xr:uid="{00000000-0005-0000-0000-000036050000}"/>
    <cellStyle name="40% - 강조색5 82" xfId="1866" xr:uid="{00000000-0005-0000-0000-000037050000}"/>
    <cellStyle name="40% - 강조색5 83" xfId="1880" xr:uid="{00000000-0005-0000-0000-000038050000}"/>
    <cellStyle name="40% - 강조색5 84" xfId="1894" xr:uid="{00000000-0005-0000-0000-000039050000}"/>
    <cellStyle name="40% - 강조색5 85" xfId="1908" xr:uid="{00000000-0005-0000-0000-00003A050000}"/>
    <cellStyle name="40% - 강조색5 9" xfId="264" xr:uid="{00000000-0005-0000-0000-00003B050000}"/>
    <cellStyle name="40% - 강조색5 9 2" xfId="873" xr:uid="{00000000-0005-0000-0000-00003C050000}"/>
    <cellStyle name="40% - 강조색5 9 3" xfId="591" xr:uid="{00000000-0005-0000-0000-00003D050000}"/>
    <cellStyle name="40% - 강조색6" xfId="206" builtinId="51" customBuiltin="1"/>
    <cellStyle name="40% - 강조색6 10" xfId="306" xr:uid="{00000000-0005-0000-0000-00003F050000}"/>
    <cellStyle name="40% - 강조색6 10 2" xfId="889" xr:uid="{00000000-0005-0000-0000-000040050000}"/>
    <cellStyle name="40% - 강조색6 10 3" xfId="607" xr:uid="{00000000-0005-0000-0000-000041050000}"/>
    <cellStyle name="40% - 강조색6 11" xfId="321" xr:uid="{00000000-0005-0000-0000-000042050000}"/>
    <cellStyle name="40% - 강조색6 12" xfId="335" xr:uid="{00000000-0005-0000-0000-000043050000}"/>
    <cellStyle name="40% - 강조색6 12 2" xfId="903" xr:uid="{00000000-0005-0000-0000-000044050000}"/>
    <cellStyle name="40% - 강조색6 12 3" xfId="621" xr:uid="{00000000-0005-0000-0000-000045050000}"/>
    <cellStyle name="40% - 강조색6 13" xfId="349" xr:uid="{00000000-0005-0000-0000-000046050000}"/>
    <cellStyle name="40% - 강조색6 13 2" xfId="917" xr:uid="{00000000-0005-0000-0000-000047050000}"/>
    <cellStyle name="40% - 강조색6 13 3" xfId="635" xr:uid="{00000000-0005-0000-0000-000048050000}"/>
    <cellStyle name="40% - 강조색6 14" xfId="363" xr:uid="{00000000-0005-0000-0000-000049050000}"/>
    <cellStyle name="40% - 강조색6 14 2" xfId="931" xr:uid="{00000000-0005-0000-0000-00004A050000}"/>
    <cellStyle name="40% - 강조색6 14 3" xfId="649" xr:uid="{00000000-0005-0000-0000-00004B050000}"/>
    <cellStyle name="40% - 강조색6 15" xfId="377" xr:uid="{00000000-0005-0000-0000-00004C050000}"/>
    <cellStyle name="40% - 강조색6 15 2" xfId="945" xr:uid="{00000000-0005-0000-0000-00004D050000}"/>
    <cellStyle name="40% - 강조색6 15 3" xfId="663" xr:uid="{00000000-0005-0000-0000-00004E050000}"/>
    <cellStyle name="40% - 강조색6 16" xfId="391" xr:uid="{00000000-0005-0000-0000-00004F050000}"/>
    <cellStyle name="40% - 강조색6 16 2" xfId="959" xr:uid="{00000000-0005-0000-0000-000050050000}"/>
    <cellStyle name="40% - 강조색6 16 3" xfId="677" xr:uid="{00000000-0005-0000-0000-000051050000}"/>
    <cellStyle name="40% - 강조색6 17" xfId="405" xr:uid="{00000000-0005-0000-0000-000052050000}"/>
    <cellStyle name="40% - 강조색6 17 2" xfId="973" xr:uid="{00000000-0005-0000-0000-000053050000}"/>
    <cellStyle name="40% - 강조색6 17 3" xfId="691" xr:uid="{00000000-0005-0000-0000-000054050000}"/>
    <cellStyle name="40% - 강조색6 18" xfId="419" xr:uid="{00000000-0005-0000-0000-000055050000}"/>
    <cellStyle name="40% - 강조색6 18 2" xfId="987" xr:uid="{00000000-0005-0000-0000-000056050000}"/>
    <cellStyle name="40% - 강조색6 18 3" xfId="705" xr:uid="{00000000-0005-0000-0000-000057050000}"/>
    <cellStyle name="40% - 강조색6 19" xfId="433" xr:uid="{00000000-0005-0000-0000-000058050000}"/>
    <cellStyle name="40% - 강조색6 19 2" xfId="1001" xr:uid="{00000000-0005-0000-0000-000059050000}"/>
    <cellStyle name="40% - 강조색6 19 3" xfId="719" xr:uid="{00000000-0005-0000-0000-00005A050000}"/>
    <cellStyle name="40% - 강조색6 2" xfId="45" xr:uid="{00000000-0005-0000-0000-00005B050000}"/>
    <cellStyle name="40% - 강조색6 20" xfId="447" xr:uid="{00000000-0005-0000-0000-00005C050000}"/>
    <cellStyle name="40% - 강조색6 20 2" xfId="1015" xr:uid="{00000000-0005-0000-0000-00005D050000}"/>
    <cellStyle name="40% - 강조색6 20 3" xfId="733" xr:uid="{00000000-0005-0000-0000-00005E050000}"/>
    <cellStyle name="40% - 강조색6 21" xfId="461" xr:uid="{00000000-0005-0000-0000-00005F050000}"/>
    <cellStyle name="40% - 강조색6 21 2" xfId="1029" xr:uid="{00000000-0005-0000-0000-000060050000}"/>
    <cellStyle name="40% - 강조색6 21 3" xfId="747" xr:uid="{00000000-0005-0000-0000-000061050000}"/>
    <cellStyle name="40% - 강조색6 22" xfId="475" xr:uid="{00000000-0005-0000-0000-000062050000}"/>
    <cellStyle name="40% - 강조색6 22 2" xfId="1043" xr:uid="{00000000-0005-0000-0000-000063050000}"/>
    <cellStyle name="40% - 강조색6 22 3" xfId="761" xr:uid="{00000000-0005-0000-0000-000064050000}"/>
    <cellStyle name="40% - 강조색6 23" xfId="489" xr:uid="{00000000-0005-0000-0000-000065050000}"/>
    <cellStyle name="40% - 강조색6 23 2" xfId="1057" xr:uid="{00000000-0005-0000-0000-000066050000}"/>
    <cellStyle name="40% - 강조색6 23 3" xfId="775" xr:uid="{00000000-0005-0000-0000-000067050000}"/>
    <cellStyle name="40% - 강조색6 24" xfId="503" xr:uid="{00000000-0005-0000-0000-000068050000}"/>
    <cellStyle name="40% - 강조색6 24 2" xfId="1071" xr:uid="{00000000-0005-0000-0000-000069050000}"/>
    <cellStyle name="40% - 강조색6 24 3" xfId="789" xr:uid="{00000000-0005-0000-0000-00006A050000}"/>
    <cellStyle name="40% - 강조색6 25" xfId="519" xr:uid="{00000000-0005-0000-0000-00006B050000}"/>
    <cellStyle name="40% - 강조색6 25 2" xfId="805" xr:uid="{00000000-0005-0000-0000-00006C050000}"/>
    <cellStyle name="40% - 강조색6 26" xfId="817" xr:uid="{00000000-0005-0000-0000-00006D050000}"/>
    <cellStyle name="40% - 강조색6 27" xfId="533" xr:uid="{00000000-0005-0000-0000-00006E050000}"/>
    <cellStyle name="40% - 강조색6 28" xfId="1085" xr:uid="{00000000-0005-0000-0000-00006F050000}"/>
    <cellStyle name="40% - 강조색6 29" xfId="1099" xr:uid="{00000000-0005-0000-0000-000070050000}"/>
    <cellStyle name="40% - 강조색6 3" xfId="46" xr:uid="{00000000-0005-0000-0000-000071050000}"/>
    <cellStyle name="40% - 강조색6 30" xfId="1113" xr:uid="{00000000-0005-0000-0000-000072050000}"/>
    <cellStyle name="40% - 강조색6 31" xfId="1127" xr:uid="{00000000-0005-0000-0000-000073050000}"/>
    <cellStyle name="40% - 강조색6 32" xfId="1141" xr:uid="{00000000-0005-0000-0000-000074050000}"/>
    <cellStyle name="40% - 강조색6 33" xfId="1155" xr:uid="{00000000-0005-0000-0000-000075050000}"/>
    <cellStyle name="40% - 강조색6 34" xfId="1169" xr:uid="{00000000-0005-0000-0000-000076050000}"/>
    <cellStyle name="40% - 강조색6 35" xfId="1183" xr:uid="{00000000-0005-0000-0000-000077050000}"/>
    <cellStyle name="40% - 강조색6 36" xfId="1197" xr:uid="{00000000-0005-0000-0000-000078050000}"/>
    <cellStyle name="40% - 강조색6 37" xfId="1211" xr:uid="{00000000-0005-0000-0000-000079050000}"/>
    <cellStyle name="40% - 강조색6 38" xfId="1225" xr:uid="{00000000-0005-0000-0000-00007A050000}"/>
    <cellStyle name="40% - 강조색6 39" xfId="1239" xr:uid="{00000000-0005-0000-0000-00007B050000}"/>
    <cellStyle name="40% - 강조색6 4" xfId="47" xr:uid="{00000000-0005-0000-0000-00007C050000}"/>
    <cellStyle name="40% - 강조색6 40" xfId="1253" xr:uid="{00000000-0005-0000-0000-00007D050000}"/>
    <cellStyle name="40% - 강조색6 41" xfId="1267" xr:uid="{00000000-0005-0000-0000-00007E050000}"/>
    <cellStyle name="40% - 강조색6 42" xfId="1281" xr:uid="{00000000-0005-0000-0000-00007F050000}"/>
    <cellStyle name="40% - 강조색6 43" xfId="1295" xr:uid="{00000000-0005-0000-0000-000080050000}"/>
    <cellStyle name="40% - 강조색6 44" xfId="1309" xr:uid="{00000000-0005-0000-0000-000081050000}"/>
    <cellStyle name="40% - 강조색6 45" xfId="1323" xr:uid="{00000000-0005-0000-0000-000082050000}"/>
    <cellStyle name="40% - 강조색6 46" xfId="1337" xr:uid="{00000000-0005-0000-0000-000083050000}"/>
    <cellStyle name="40% - 강조색6 47" xfId="1351" xr:uid="{00000000-0005-0000-0000-000084050000}"/>
    <cellStyle name="40% - 강조색6 48" xfId="1365" xr:uid="{00000000-0005-0000-0000-000085050000}"/>
    <cellStyle name="40% - 강조색6 49" xfId="1379" xr:uid="{00000000-0005-0000-0000-000086050000}"/>
    <cellStyle name="40% - 강조색6 5" xfId="48" xr:uid="{00000000-0005-0000-0000-000087050000}"/>
    <cellStyle name="40% - 강조색6 50" xfId="1393" xr:uid="{00000000-0005-0000-0000-000088050000}"/>
    <cellStyle name="40% - 강조색6 51" xfId="1407" xr:uid="{00000000-0005-0000-0000-000089050000}"/>
    <cellStyle name="40% - 강조색6 52" xfId="1421" xr:uid="{00000000-0005-0000-0000-00008A050000}"/>
    <cellStyle name="40% - 강조색6 53" xfId="1436" xr:uid="{00000000-0005-0000-0000-00008B050000}"/>
    <cellStyle name="40% - 강조색6 54" xfId="1450" xr:uid="{00000000-0005-0000-0000-00008C050000}"/>
    <cellStyle name="40% - 강조색6 55" xfId="1464" xr:uid="{00000000-0005-0000-0000-00008D050000}"/>
    <cellStyle name="40% - 강조색6 56" xfId="1478" xr:uid="{00000000-0005-0000-0000-00008E050000}"/>
    <cellStyle name="40% - 강조색6 57" xfId="1492" xr:uid="{00000000-0005-0000-0000-00008F050000}"/>
    <cellStyle name="40% - 강조색6 58" xfId="1506" xr:uid="{00000000-0005-0000-0000-000090050000}"/>
    <cellStyle name="40% - 강조색6 59" xfId="1520" xr:uid="{00000000-0005-0000-0000-000091050000}"/>
    <cellStyle name="40% - 강조색6 6" xfId="221" xr:uid="{00000000-0005-0000-0000-000092050000}"/>
    <cellStyle name="40% - 강조색6 6 2" xfId="831" xr:uid="{00000000-0005-0000-0000-000093050000}"/>
    <cellStyle name="40% - 강조색6 6 3" xfId="549" xr:uid="{00000000-0005-0000-0000-000094050000}"/>
    <cellStyle name="40% - 강조색6 60" xfId="1534" xr:uid="{00000000-0005-0000-0000-000095050000}"/>
    <cellStyle name="40% - 강조색6 61" xfId="1548" xr:uid="{00000000-0005-0000-0000-000096050000}"/>
    <cellStyle name="40% - 강조색6 62" xfId="1562" xr:uid="{00000000-0005-0000-0000-000097050000}"/>
    <cellStyle name="40% - 강조색6 63" xfId="1576" xr:uid="{00000000-0005-0000-0000-000098050000}"/>
    <cellStyle name="40% - 강조색6 64" xfId="1590" xr:uid="{00000000-0005-0000-0000-000099050000}"/>
    <cellStyle name="40% - 강조색6 65" xfId="1604" xr:uid="{00000000-0005-0000-0000-00009A050000}"/>
    <cellStyle name="40% - 강조색6 66" xfId="1618" xr:uid="{00000000-0005-0000-0000-00009B050000}"/>
    <cellStyle name="40% - 강조색6 67" xfId="1632" xr:uid="{00000000-0005-0000-0000-00009C050000}"/>
    <cellStyle name="40% - 강조색6 68" xfId="1646" xr:uid="{00000000-0005-0000-0000-00009D050000}"/>
    <cellStyle name="40% - 강조색6 69" xfId="1660" xr:uid="{00000000-0005-0000-0000-00009E050000}"/>
    <cellStyle name="40% - 강조색6 7" xfId="238" xr:uid="{00000000-0005-0000-0000-00009F050000}"/>
    <cellStyle name="40% - 강조색6 7 2" xfId="847" xr:uid="{00000000-0005-0000-0000-0000A0050000}"/>
    <cellStyle name="40% - 강조색6 7 3" xfId="565" xr:uid="{00000000-0005-0000-0000-0000A1050000}"/>
    <cellStyle name="40% - 강조색6 70" xfId="1674" xr:uid="{00000000-0005-0000-0000-0000A2050000}"/>
    <cellStyle name="40% - 강조색6 71" xfId="1688" xr:uid="{00000000-0005-0000-0000-0000A3050000}"/>
    <cellStyle name="40% - 강조색6 72" xfId="1702" xr:uid="{00000000-0005-0000-0000-0000A4050000}"/>
    <cellStyle name="40% - 강조색6 73" xfId="1716" xr:uid="{00000000-0005-0000-0000-0000A5050000}"/>
    <cellStyle name="40% - 강조색6 74" xfId="1730" xr:uid="{00000000-0005-0000-0000-0000A6050000}"/>
    <cellStyle name="40% - 강조색6 75" xfId="1750" xr:uid="{00000000-0005-0000-0000-0000A7050000}"/>
    <cellStyle name="40% - 강조색6 76" xfId="1770" xr:uid="{00000000-0005-0000-0000-0000A8050000}"/>
    <cellStyle name="40% - 강조색6 77" xfId="1790" xr:uid="{00000000-0005-0000-0000-0000A9050000}"/>
    <cellStyle name="40% - 강조색6 78" xfId="1811" xr:uid="{00000000-0005-0000-0000-0000AA050000}"/>
    <cellStyle name="40% - 강조색6 79" xfId="1826" xr:uid="{00000000-0005-0000-0000-0000AB050000}"/>
    <cellStyle name="40% - 강조색6 8" xfId="252" xr:uid="{00000000-0005-0000-0000-0000AC050000}"/>
    <cellStyle name="40% - 강조색6 8 2" xfId="861" xr:uid="{00000000-0005-0000-0000-0000AD050000}"/>
    <cellStyle name="40% - 강조색6 8 3" xfId="579" xr:uid="{00000000-0005-0000-0000-0000AE050000}"/>
    <cellStyle name="40% - 강조색6 80" xfId="1840" xr:uid="{00000000-0005-0000-0000-0000AF050000}"/>
    <cellStyle name="40% - 강조색6 81" xfId="1854" xr:uid="{00000000-0005-0000-0000-0000B0050000}"/>
    <cellStyle name="40% - 강조색6 82" xfId="1868" xr:uid="{00000000-0005-0000-0000-0000B1050000}"/>
    <cellStyle name="40% - 강조색6 83" xfId="1882" xr:uid="{00000000-0005-0000-0000-0000B2050000}"/>
    <cellStyle name="40% - 강조색6 84" xfId="1896" xr:uid="{00000000-0005-0000-0000-0000B3050000}"/>
    <cellStyle name="40% - 강조색6 85" xfId="1910" xr:uid="{00000000-0005-0000-0000-0000B4050000}"/>
    <cellStyle name="40% - 강조색6 9" xfId="266" xr:uid="{00000000-0005-0000-0000-0000B5050000}"/>
    <cellStyle name="40% - 강조색6 9 2" xfId="875" xr:uid="{00000000-0005-0000-0000-0000B6050000}"/>
    <cellStyle name="40% - 강조색6 9 3" xfId="593" xr:uid="{00000000-0005-0000-0000-0000B7050000}"/>
    <cellStyle name="60% - 강조색1" xfId="187" builtinId="32" customBuiltin="1"/>
    <cellStyle name="60% - 강조색1 10" xfId="1797" xr:uid="{00000000-0005-0000-0000-0000B9050000}"/>
    <cellStyle name="60% - 강조색1 2" xfId="49" xr:uid="{00000000-0005-0000-0000-0000BA050000}"/>
    <cellStyle name="60% - 강조색1 3" xfId="50" xr:uid="{00000000-0005-0000-0000-0000BB050000}"/>
    <cellStyle name="60% - 강조색1 4" xfId="51" xr:uid="{00000000-0005-0000-0000-0000BC050000}"/>
    <cellStyle name="60% - 강조색1 5" xfId="52" xr:uid="{00000000-0005-0000-0000-0000BD050000}"/>
    <cellStyle name="60% - 강조색1 6" xfId="287" xr:uid="{00000000-0005-0000-0000-0000BE050000}"/>
    <cellStyle name="60% - 강조색1 7" xfId="1736" xr:uid="{00000000-0005-0000-0000-0000BF050000}"/>
    <cellStyle name="60% - 강조색1 8" xfId="1756" xr:uid="{00000000-0005-0000-0000-0000C0050000}"/>
    <cellStyle name="60% - 강조색1 9" xfId="1776" xr:uid="{00000000-0005-0000-0000-0000C1050000}"/>
    <cellStyle name="60% - 강조색2" xfId="191" builtinId="36" customBuiltin="1"/>
    <cellStyle name="60% - 강조색2 10" xfId="1800" xr:uid="{00000000-0005-0000-0000-0000C3050000}"/>
    <cellStyle name="60% - 강조색2 2" xfId="53" xr:uid="{00000000-0005-0000-0000-0000C4050000}"/>
    <cellStyle name="60% - 강조색2 3" xfId="54" xr:uid="{00000000-0005-0000-0000-0000C5050000}"/>
    <cellStyle name="60% - 강조색2 4" xfId="55" xr:uid="{00000000-0005-0000-0000-0000C6050000}"/>
    <cellStyle name="60% - 강조색2 5" xfId="56" xr:uid="{00000000-0005-0000-0000-0000C7050000}"/>
    <cellStyle name="60% - 강조색2 6" xfId="291" xr:uid="{00000000-0005-0000-0000-0000C8050000}"/>
    <cellStyle name="60% - 강조색2 7" xfId="1739" xr:uid="{00000000-0005-0000-0000-0000C9050000}"/>
    <cellStyle name="60% - 강조색2 8" xfId="1759" xr:uid="{00000000-0005-0000-0000-0000CA050000}"/>
    <cellStyle name="60% - 강조색2 9" xfId="1779" xr:uid="{00000000-0005-0000-0000-0000CB050000}"/>
    <cellStyle name="60% - 강조색3" xfId="195" builtinId="40" customBuiltin="1"/>
    <cellStyle name="60% - 강조색3 10" xfId="1803" xr:uid="{00000000-0005-0000-0000-0000CD050000}"/>
    <cellStyle name="60% - 강조색3 2" xfId="57" xr:uid="{00000000-0005-0000-0000-0000CE050000}"/>
    <cellStyle name="60% - 강조색3 3" xfId="58" xr:uid="{00000000-0005-0000-0000-0000CF050000}"/>
    <cellStyle name="60% - 강조색3 4" xfId="59" xr:uid="{00000000-0005-0000-0000-0000D0050000}"/>
    <cellStyle name="60% - 강조색3 5" xfId="60" xr:uid="{00000000-0005-0000-0000-0000D1050000}"/>
    <cellStyle name="60% - 강조색3 6" xfId="295" xr:uid="{00000000-0005-0000-0000-0000D2050000}"/>
    <cellStyle name="60% - 강조색3 7" xfId="1742" xr:uid="{00000000-0005-0000-0000-0000D3050000}"/>
    <cellStyle name="60% - 강조색3 8" xfId="1762" xr:uid="{00000000-0005-0000-0000-0000D4050000}"/>
    <cellStyle name="60% - 강조색3 9" xfId="1782" xr:uid="{00000000-0005-0000-0000-0000D5050000}"/>
    <cellStyle name="60% - 강조색4" xfId="199" builtinId="44" customBuiltin="1"/>
    <cellStyle name="60% - 강조색4 10" xfId="1806" xr:uid="{00000000-0005-0000-0000-0000D7050000}"/>
    <cellStyle name="60% - 강조색4 2" xfId="61" xr:uid="{00000000-0005-0000-0000-0000D8050000}"/>
    <cellStyle name="60% - 강조색4 3" xfId="62" xr:uid="{00000000-0005-0000-0000-0000D9050000}"/>
    <cellStyle name="60% - 강조색4 4" xfId="63" xr:uid="{00000000-0005-0000-0000-0000DA050000}"/>
    <cellStyle name="60% - 강조색4 5" xfId="64" xr:uid="{00000000-0005-0000-0000-0000DB050000}"/>
    <cellStyle name="60% - 강조색4 6" xfId="299" xr:uid="{00000000-0005-0000-0000-0000DC050000}"/>
    <cellStyle name="60% - 강조색4 7" xfId="1745" xr:uid="{00000000-0005-0000-0000-0000DD050000}"/>
    <cellStyle name="60% - 강조색4 8" xfId="1765" xr:uid="{00000000-0005-0000-0000-0000DE050000}"/>
    <cellStyle name="60% - 강조색4 9" xfId="1785" xr:uid="{00000000-0005-0000-0000-0000DF050000}"/>
    <cellStyle name="60% - 강조색5" xfId="203" builtinId="48" customBuiltin="1"/>
    <cellStyle name="60% - 강조색5 10" xfId="1809" xr:uid="{00000000-0005-0000-0000-0000E1050000}"/>
    <cellStyle name="60% - 강조색5 2" xfId="65" xr:uid="{00000000-0005-0000-0000-0000E2050000}"/>
    <cellStyle name="60% - 강조색5 3" xfId="66" xr:uid="{00000000-0005-0000-0000-0000E3050000}"/>
    <cellStyle name="60% - 강조색5 4" xfId="67" xr:uid="{00000000-0005-0000-0000-0000E4050000}"/>
    <cellStyle name="60% - 강조색5 5" xfId="68" xr:uid="{00000000-0005-0000-0000-0000E5050000}"/>
    <cellStyle name="60% - 강조색5 6" xfId="303" xr:uid="{00000000-0005-0000-0000-0000E6050000}"/>
    <cellStyle name="60% - 강조색5 7" xfId="1748" xr:uid="{00000000-0005-0000-0000-0000E7050000}"/>
    <cellStyle name="60% - 강조색5 8" xfId="1768" xr:uid="{00000000-0005-0000-0000-0000E8050000}"/>
    <cellStyle name="60% - 강조색5 9" xfId="1788" xr:uid="{00000000-0005-0000-0000-0000E9050000}"/>
    <cellStyle name="60% - 강조색6" xfId="207" builtinId="52" customBuiltin="1"/>
    <cellStyle name="60% - 강조색6 10" xfId="1812" xr:uid="{00000000-0005-0000-0000-0000EB050000}"/>
    <cellStyle name="60% - 강조색6 2" xfId="69" xr:uid="{00000000-0005-0000-0000-0000EC050000}"/>
    <cellStyle name="60% - 강조색6 3" xfId="70" xr:uid="{00000000-0005-0000-0000-0000ED050000}"/>
    <cellStyle name="60% - 강조색6 4" xfId="71" xr:uid="{00000000-0005-0000-0000-0000EE050000}"/>
    <cellStyle name="60% - 강조색6 5" xfId="72" xr:uid="{00000000-0005-0000-0000-0000EF050000}"/>
    <cellStyle name="60% - 강조색6 6" xfId="307" xr:uid="{00000000-0005-0000-0000-0000F0050000}"/>
    <cellStyle name="60% - 강조색6 7" xfId="1751" xr:uid="{00000000-0005-0000-0000-0000F1050000}"/>
    <cellStyle name="60% - 강조색6 8" xfId="1771" xr:uid="{00000000-0005-0000-0000-0000F2050000}"/>
    <cellStyle name="60% - 강조색6 9" xfId="1791" xr:uid="{00000000-0005-0000-0000-0000F3050000}"/>
    <cellStyle name="강조색1" xfId="184" builtinId="29" customBuiltin="1"/>
    <cellStyle name="강조색1 2" xfId="73" xr:uid="{00000000-0005-0000-0000-0000F5050000}"/>
    <cellStyle name="강조색1 3" xfId="74" xr:uid="{00000000-0005-0000-0000-0000F6050000}"/>
    <cellStyle name="강조색1 4" xfId="75" xr:uid="{00000000-0005-0000-0000-0000F7050000}"/>
    <cellStyle name="강조색1 5" xfId="76" xr:uid="{00000000-0005-0000-0000-0000F8050000}"/>
    <cellStyle name="강조색1 6" xfId="284" xr:uid="{00000000-0005-0000-0000-0000F9050000}"/>
    <cellStyle name="강조색2" xfId="188" builtinId="33" customBuiltin="1"/>
    <cellStyle name="강조색2 2" xfId="77" xr:uid="{00000000-0005-0000-0000-0000FB050000}"/>
    <cellStyle name="강조색2 3" xfId="78" xr:uid="{00000000-0005-0000-0000-0000FC050000}"/>
    <cellStyle name="강조색2 4" xfId="79" xr:uid="{00000000-0005-0000-0000-0000FD050000}"/>
    <cellStyle name="강조색2 5" xfId="80" xr:uid="{00000000-0005-0000-0000-0000FE050000}"/>
    <cellStyle name="강조색2 6" xfId="288" xr:uid="{00000000-0005-0000-0000-0000FF050000}"/>
    <cellStyle name="강조색3" xfId="192" builtinId="37" customBuiltin="1"/>
    <cellStyle name="강조색3 2" xfId="81" xr:uid="{00000000-0005-0000-0000-000001060000}"/>
    <cellStyle name="강조색3 3" xfId="82" xr:uid="{00000000-0005-0000-0000-000002060000}"/>
    <cellStyle name="강조색3 4" xfId="83" xr:uid="{00000000-0005-0000-0000-000003060000}"/>
    <cellStyle name="강조색3 5" xfId="84" xr:uid="{00000000-0005-0000-0000-000004060000}"/>
    <cellStyle name="강조색3 6" xfId="292" xr:uid="{00000000-0005-0000-0000-000005060000}"/>
    <cellStyle name="강조색4" xfId="196" builtinId="41" customBuiltin="1"/>
    <cellStyle name="강조색4 2" xfId="85" xr:uid="{00000000-0005-0000-0000-000007060000}"/>
    <cellStyle name="강조색4 3" xfId="86" xr:uid="{00000000-0005-0000-0000-000008060000}"/>
    <cellStyle name="강조색4 4" xfId="87" xr:uid="{00000000-0005-0000-0000-000009060000}"/>
    <cellStyle name="강조색4 5" xfId="88" xr:uid="{00000000-0005-0000-0000-00000A060000}"/>
    <cellStyle name="강조색4 6" xfId="296" xr:uid="{00000000-0005-0000-0000-00000B060000}"/>
    <cellStyle name="강조색5" xfId="200" builtinId="45" customBuiltin="1"/>
    <cellStyle name="강조색5 2" xfId="89" xr:uid="{00000000-0005-0000-0000-00000D060000}"/>
    <cellStyle name="강조색5 3" xfId="90" xr:uid="{00000000-0005-0000-0000-00000E060000}"/>
    <cellStyle name="강조색5 4" xfId="91" xr:uid="{00000000-0005-0000-0000-00000F060000}"/>
    <cellStyle name="강조색5 5" xfId="92" xr:uid="{00000000-0005-0000-0000-000010060000}"/>
    <cellStyle name="강조색5 6" xfId="300" xr:uid="{00000000-0005-0000-0000-000011060000}"/>
    <cellStyle name="강조색6" xfId="204" builtinId="49" customBuiltin="1"/>
    <cellStyle name="강조색6 2" xfId="93" xr:uid="{00000000-0005-0000-0000-000013060000}"/>
    <cellStyle name="강조색6 3" xfId="94" xr:uid="{00000000-0005-0000-0000-000014060000}"/>
    <cellStyle name="강조색6 4" xfId="95" xr:uid="{00000000-0005-0000-0000-000015060000}"/>
    <cellStyle name="강조색6 5" xfId="96" xr:uid="{00000000-0005-0000-0000-000016060000}"/>
    <cellStyle name="강조색6 6" xfId="304" xr:uid="{00000000-0005-0000-0000-000017060000}"/>
    <cellStyle name="경고문" xfId="181" builtinId="11" customBuiltin="1"/>
    <cellStyle name="경고문 2" xfId="97" xr:uid="{00000000-0005-0000-0000-000019060000}"/>
    <cellStyle name="경고문 3" xfId="98" xr:uid="{00000000-0005-0000-0000-00001A060000}"/>
    <cellStyle name="경고문 4" xfId="99" xr:uid="{00000000-0005-0000-0000-00001B060000}"/>
    <cellStyle name="경고문 5" xfId="100" xr:uid="{00000000-0005-0000-0000-00001C060000}"/>
    <cellStyle name="경고문 6" xfId="280" xr:uid="{00000000-0005-0000-0000-00001D060000}"/>
    <cellStyle name="계산" xfId="178" builtinId="22" customBuiltin="1"/>
    <cellStyle name="계산 2" xfId="101" xr:uid="{00000000-0005-0000-0000-00001F060000}"/>
    <cellStyle name="계산 3" xfId="102" xr:uid="{00000000-0005-0000-0000-000020060000}"/>
    <cellStyle name="계산 4" xfId="103" xr:uid="{00000000-0005-0000-0000-000021060000}"/>
    <cellStyle name="계산 5" xfId="104" xr:uid="{00000000-0005-0000-0000-000022060000}"/>
    <cellStyle name="계산 6" xfId="277" xr:uid="{00000000-0005-0000-0000-000023060000}"/>
    <cellStyle name="나쁨" xfId="174" builtinId="27" customBuiltin="1"/>
    <cellStyle name="나쁨 2" xfId="105" xr:uid="{00000000-0005-0000-0000-000025060000}"/>
    <cellStyle name="나쁨 3" xfId="106" xr:uid="{00000000-0005-0000-0000-000026060000}"/>
    <cellStyle name="나쁨 4" xfId="107" xr:uid="{00000000-0005-0000-0000-000027060000}"/>
    <cellStyle name="나쁨 5" xfId="108" xr:uid="{00000000-0005-0000-0000-000028060000}"/>
    <cellStyle name="나쁨 6" xfId="273" xr:uid="{00000000-0005-0000-0000-000029060000}"/>
    <cellStyle name="메모 10" xfId="281" xr:uid="{00000000-0005-0000-0000-00002A060000}"/>
    <cellStyle name="메모 10 2" xfId="877" xr:uid="{00000000-0005-0000-0000-00002B060000}"/>
    <cellStyle name="메모 10 3" xfId="595" xr:uid="{00000000-0005-0000-0000-00002C060000}"/>
    <cellStyle name="메모 11" xfId="309" xr:uid="{00000000-0005-0000-0000-00002D060000}"/>
    <cellStyle name="메모 12" xfId="323" xr:uid="{00000000-0005-0000-0000-00002E060000}"/>
    <cellStyle name="메모 12 2" xfId="891" xr:uid="{00000000-0005-0000-0000-00002F060000}"/>
    <cellStyle name="메모 12 3" xfId="609" xr:uid="{00000000-0005-0000-0000-000030060000}"/>
    <cellStyle name="메모 13" xfId="337" xr:uid="{00000000-0005-0000-0000-000031060000}"/>
    <cellStyle name="메모 13 2" xfId="905" xr:uid="{00000000-0005-0000-0000-000032060000}"/>
    <cellStyle name="메모 13 3" xfId="623" xr:uid="{00000000-0005-0000-0000-000033060000}"/>
    <cellStyle name="메모 14" xfId="351" xr:uid="{00000000-0005-0000-0000-000034060000}"/>
    <cellStyle name="메모 14 2" xfId="919" xr:uid="{00000000-0005-0000-0000-000035060000}"/>
    <cellStyle name="메모 14 3" xfId="637" xr:uid="{00000000-0005-0000-0000-000036060000}"/>
    <cellStyle name="메모 15" xfId="365" xr:uid="{00000000-0005-0000-0000-000037060000}"/>
    <cellStyle name="메모 15 2" xfId="933" xr:uid="{00000000-0005-0000-0000-000038060000}"/>
    <cellStyle name="메모 15 3" xfId="651" xr:uid="{00000000-0005-0000-0000-000039060000}"/>
    <cellStyle name="메모 16" xfId="379" xr:uid="{00000000-0005-0000-0000-00003A060000}"/>
    <cellStyle name="메모 16 2" xfId="947" xr:uid="{00000000-0005-0000-0000-00003B060000}"/>
    <cellStyle name="메모 16 3" xfId="665" xr:uid="{00000000-0005-0000-0000-00003C060000}"/>
    <cellStyle name="메모 17" xfId="393" xr:uid="{00000000-0005-0000-0000-00003D060000}"/>
    <cellStyle name="메모 17 2" xfId="961" xr:uid="{00000000-0005-0000-0000-00003E060000}"/>
    <cellStyle name="메모 17 3" xfId="679" xr:uid="{00000000-0005-0000-0000-00003F060000}"/>
    <cellStyle name="메모 18" xfId="407" xr:uid="{00000000-0005-0000-0000-000040060000}"/>
    <cellStyle name="메모 18 2" xfId="975" xr:uid="{00000000-0005-0000-0000-000041060000}"/>
    <cellStyle name="메모 18 3" xfId="693" xr:uid="{00000000-0005-0000-0000-000042060000}"/>
    <cellStyle name="메모 19" xfId="421" xr:uid="{00000000-0005-0000-0000-000043060000}"/>
    <cellStyle name="메모 19 2" xfId="989" xr:uid="{00000000-0005-0000-0000-000044060000}"/>
    <cellStyle name="메모 19 3" xfId="707" xr:uid="{00000000-0005-0000-0000-000045060000}"/>
    <cellStyle name="메모 2" xfId="109" xr:uid="{00000000-0005-0000-0000-000046060000}"/>
    <cellStyle name="메모 20" xfId="435" xr:uid="{00000000-0005-0000-0000-000047060000}"/>
    <cellStyle name="메모 20 2" xfId="1003" xr:uid="{00000000-0005-0000-0000-000048060000}"/>
    <cellStyle name="메모 20 3" xfId="721" xr:uid="{00000000-0005-0000-0000-000049060000}"/>
    <cellStyle name="메모 21" xfId="449" xr:uid="{00000000-0005-0000-0000-00004A060000}"/>
    <cellStyle name="메모 21 2" xfId="1017" xr:uid="{00000000-0005-0000-0000-00004B060000}"/>
    <cellStyle name="메모 21 3" xfId="735" xr:uid="{00000000-0005-0000-0000-00004C060000}"/>
    <cellStyle name="메모 22" xfId="463" xr:uid="{00000000-0005-0000-0000-00004D060000}"/>
    <cellStyle name="메모 22 2" xfId="1031" xr:uid="{00000000-0005-0000-0000-00004E060000}"/>
    <cellStyle name="메모 22 3" xfId="749" xr:uid="{00000000-0005-0000-0000-00004F060000}"/>
    <cellStyle name="메모 23" xfId="477" xr:uid="{00000000-0005-0000-0000-000050060000}"/>
    <cellStyle name="메모 23 2" xfId="1045" xr:uid="{00000000-0005-0000-0000-000051060000}"/>
    <cellStyle name="메모 23 3" xfId="763" xr:uid="{00000000-0005-0000-0000-000052060000}"/>
    <cellStyle name="메모 24" xfId="491" xr:uid="{00000000-0005-0000-0000-000053060000}"/>
    <cellStyle name="메모 24 2" xfId="1059" xr:uid="{00000000-0005-0000-0000-000054060000}"/>
    <cellStyle name="메모 24 3" xfId="777" xr:uid="{00000000-0005-0000-0000-000055060000}"/>
    <cellStyle name="메모 25" xfId="507" xr:uid="{00000000-0005-0000-0000-000056060000}"/>
    <cellStyle name="메모 25 2" xfId="793" xr:uid="{00000000-0005-0000-0000-000057060000}"/>
    <cellStyle name="메모 26" xfId="1073" xr:uid="{00000000-0005-0000-0000-000058060000}"/>
    <cellStyle name="메모 27" xfId="1087" xr:uid="{00000000-0005-0000-0000-000059060000}"/>
    <cellStyle name="메모 28" xfId="1101" xr:uid="{00000000-0005-0000-0000-00005A060000}"/>
    <cellStyle name="메모 29" xfId="1115" xr:uid="{00000000-0005-0000-0000-00005B060000}"/>
    <cellStyle name="메모 3" xfId="110" xr:uid="{00000000-0005-0000-0000-00005C060000}"/>
    <cellStyle name="메모 30" xfId="1129" xr:uid="{00000000-0005-0000-0000-00005D060000}"/>
    <cellStyle name="메모 31" xfId="1143" xr:uid="{00000000-0005-0000-0000-00005E060000}"/>
    <cellStyle name="메모 32" xfId="1157" xr:uid="{00000000-0005-0000-0000-00005F060000}"/>
    <cellStyle name="메모 33" xfId="1171" xr:uid="{00000000-0005-0000-0000-000060060000}"/>
    <cellStyle name="메모 34" xfId="1185" xr:uid="{00000000-0005-0000-0000-000061060000}"/>
    <cellStyle name="메모 35" xfId="1199" xr:uid="{00000000-0005-0000-0000-000062060000}"/>
    <cellStyle name="메모 36" xfId="1213" xr:uid="{00000000-0005-0000-0000-000063060000}"/>
    <cellStyle name="메모 37" xfId="1227" xr:uid="{00000000-0005-0000-0000-000064060000}"/>
    <cellStyle name="메모 38" xfId="1241" xr:uid="{00000000-0005-0000-0000-000065060000}"/>
    <cellStyle name="메모 39" xfId="1255" xr:uid="{00000000-0005-0000-0000-000066060000}"/>
    <cellStyle name="메모 4" xfId="111" xr:uid="{00000000-0005-0000-0000-000067060000}"/>
    <cellStyle name="메모 40" xfId="1269" xr:uid="{00000000-0005-0000-0000-000068060000}"/>
    <cellStyle name="메모 41" xfId="1283" xr:uid="{00000000-0005-0000-0000-000069060000}"/>
    <cellStyle name="메모 42" xfId="1297" xr:uid="{00000000-0005-0000-0000-00006A060000}"/>
    <cellStyle name="메모 43" xfId="1311" xr:uid="{00000000-0005-0000-0000-00006B060000}"/>
    <cellStyle name="메모 44" xfId="1325" xr:uid="{00000000-0005-0000-0000-00006C060000}"/>
    <cellStyle name="메모 45" xfId="1339" xr:uid="{00000000-0005-0000-0000-00006D060000}"/>
    <cellStyle name="메모 46" xfId="1353" xr:uid="{00000000-0005-0000-0000-00006E060000}"/>
    <cellStyle name="메모 47" xfId="1367" xr:uid="{00000000-0005-0000-0000-00006F060000}"/>
    <cellStyle name="메모 48" xfId="1381" xr:uid="{00000000-0005-0000-0000-000070060000}"/>
    <cellStyle name="메모 49" xfId="1395" xr:uid="{00000000-0005-0000-0000-000071060000}"/>
    <cellStyle name="메모 5" xfId="112" xr:uid="{00000000-0005-0000-0000-000072060000}"/>
    <cellStyle name="메모 50" xfId="1409" xr:uid="{00000000-0005-0000-0000-000073060000}"/>
    <cellStyle name="메모 51" xfId="1424" xr:uid="{00000000-0005-0000-0000-000074060000}"/>
    <cellStyle name="메모 52" xfId="1438" xr:uid="{00000000-0005-0000-0000-000075060000}"/>
    <cellStyle name="메모 53" xfId="1452" xr:uid="{00000000-0005-0000-0000-000076060000}"/>
    <cellStyle name="메모 54" xfId="1466" xr:uid="{00000000-0005-0000-0000-000077060000}"/>
    <cellStyle name="메모 55" xfId="1480" xr:uid="{00000000-0005-0000-0000-000078060000}"/>
    <cellStyle name="메모 56" xfId="1494" xr:uid="{00000000-0005-0000-0000-000079060000}"/>
    <cellStyle name="메모 57" xfId="1508" xr:uid="{00000000-0005-0000-0000-00007A060000}"/>
    <cellStyle name="메모 58" xfId="1522" xr:uid="{00000000-0005-0000-0000-00007B060000}"/>
    <cellStyle name="메모 59" xfId="1536" xr:uid="{00000000-0005-0000-0000-00007C060000}"/>
    <cellStyle name="메모 6" xfId="209" xr:uid="{00000000-0005-0000-0000-00007D060000}"/>
    <cellStyle name="메모 6 2" xfId="223" xr:uid="{00000000-0005-0000-0000-00007E060000}"/>
    <cellStyle name="메모 6 2 2" xfId="833" xr:uid="{00000000-0005-0000-0000-00007F060000}"/>
    <cellStyle name="메모 6 2 3" xfId="551" xr:uid="{00000000-0005-0000-0000-000080060000}"/>
    <cellStyle name="메모 6 3" xfId="819" xr:uid="{00000000-0005-0000-0000-000081060000}"/>
    <cellStyle name="메모 6 4" xfId="537" xr:uid="{00000000-0005-0000-0000-000082060000}"/>
    <cellStyle name="메모 60" xfId="1550" xr:uid="{00000000-0005-0000-0000-000083060000}"/>
    <cellStyle name="메모 61" xfId="1564" xr:uid="{00000000-0005-0000-0000-000084060000}"/>
    <cellStyle name="메모 62" xfId="1578" xr:uid="{00000000-0005-0000-0000-000085060000}"/>
    <cellStyle name="메모 63" xfId="1592" xr:uid="{00000000-0005-0000-0000-000086060000}"/>
    <cellStyle name="메모 64" xfId="1606" xr:uid="{00000000-0005-0000-0000-000087060000}"/>
    <cellStyle name="메모 65" xfId="1620" xr:uid="{00000000-0005-0000-0000-000088060000}"/>
    <cellStyle name="메모 66" xfId="1634" xr:uid="{00000000-0005-0000-0000-000089060000}"/>
    <cellStyle name="메모 67" xfId="1648" xr:uid="{00000000-0005-0000-0000-00008A060000}"/>
    <cellStyle name="메모 68" xfId="1662" xr:uid="{00000000-0005-0000-0000-00008B060000}"/>
    <cellStyle name="메모 69" xfId="1676" xr:uid="{00000000-0005-0000-0000-00008C060000}"/>
    <cellStyle name="메모 7" xfId="226" xr:uid="{00000000-0005-0000-0000-00008D060000}"/>
    <cellStyle name="메모 7 2" xfId="835" xr:uid="{00000000-0005-0000-0000-00008E060000}"/>
    <cellStyle name="메모 7 3" xfId="553" xr:uid="{00000000-0005-0000-0000-00008F060000}"/>
    <cellStyle name="메모 70" xfId="1690" xr:uid="{00000000-0005-0000-0000-000090060000}"/>
    <cellStyle name="메모 71" xfId="1704" xr:uid="{00000000-0005-0000-0000-000091060000}"/>
    <cellStyle name="메모 72" xfId="1718" xr:uid="{00000000-0005-0000-0000-000092060000}"/>
    <cellStyle name="메모 73" xfId="1733" xr:uid="{00000000-0005-0000-0000-000093060000}"/>
    <cellStyle name="메모 74" xfId="1753" xr:uid="{00000000-0005-0000-0000-000094060000}"/>
    <cellStyle name="메모 75" xfId="1773" xr:uid="{00000000-0005-0000-0000-000095060000}"/>
    <cellStyle name="메모 76" xfId="1794" xr:uid="{00000000-0005-0000-0000-000096060000}"/>
    <cellStyle name="메모 77" xfId="1814" xr:uid="{00000000-0005-0000-0000-000097060000}"/>
    <cellStyle name="메모 78" xfId="1828" xr:uid="{00000000-0005-0000-0000-000098060000}"/>
    <cellStyle name="메모 79" xfId="1842" xr:uid="{00000000-0005-0000-0000-000099060000}"/>
    <cellStyle name="메모 8" xfId="240" xr:uid="{00000000-0005-0000-0000-00009A060000}"/>
    <cellStyle name="메모 8 2" xfId="849" xr:uid="{00000000-0005-0000-0000-00009B060000}"/>
    <cellStyle name="메모 8 3" xfId="567" xr:uid="{00000000-0005-0000-0000-00009C060000}"/>
    <cellStyle name="메모 80" xfId="1856" xr:uid="{00000000-0005-0000-0000-00009D060000}"/>
    <cellStyle name="메모 81" xfId="1870" xr:uid="{00000000-0005-0000-0000-00009E060000}"/>
    <cellStyle name="메모 82" xfId="1884" xr:uid="{00000000-0005-0000-0000-00009F060000}"/>
    <cellStyle name="메모 83" xfId="1898" xr:uid="{00000000-0005-0000-0000-0000A0060000}"/>
    <cellStyle name="메모 9" xfId="254" xr:uid="{00000000-0005-0000-0000-0000A1060000}"/>
    <cellStyle name="메모 9 2" xfId="863" xr:uid="{00000000-0005-0000-0000-0000A2060000}"/>
    <cellStyle name="메모 9 3" xfId="581" xr:uid="{00000000-0005-0000-0000-0000A3060000}"/>
    <cellStyle name="보통" xfId="175" builtinId="28" customBuiltin="1"/>
    <cellStyle name="보통 2" xfId="113" xr:uid="{00000000-0005-0000-0000-0000A5060000}"/>
    <cellStyle name="보통 3" xfId="114" xr:uid="{00000000-0005-0000-0000-0000A6060000}"/>
    <cellStyle name="보통 4" xfId="115" xr:uid="{00000000-0005-0000-0000-0000A7060000}"/>
    <cellStyle name="보통 5" xfId="116" xr:uid="{00000000-0005-0000-0000-0000A8060000}"/>
    <cellStyle name="보통 6" xfId="274" xr:uid="{00000000-0005-0000-0000-0000A9060000}"/>
    <cellStyle name="보통 7" xfId="1732" xr:uid="{00000000-0005-0000-0000-0000AA060000}"/>
    <cellStyle name="설명 텍스트" xfId="182" builtinId="53" customBuiltin="1"/>
    <cellStyle name="설명 텍스트 2" xfId="117" xr:uid="{00000000-0005-0000-0000-0000AC060000}"/>
    <cellStyle name="설명 텍스트 3" xfId="118" xr:uid="{00000000-0005-0000-0000-0000AD060000}"/>
    <cellStyle name="설명 텍스트 4" xfId="119" xr:uid="{00000000-0005-0000-0000-0000AE060000}"/>
    <cellStyle name="설명 텍스트 5" xfId="120" xr:uid="{00000000-0005-0000-0000-0000AF060000}"/>
    <cellStyle name="설명 텍스트 6" xfId="282" xr:uid="{00000000-0005-0000-0000-0000B0060000}"/>
    <cellStyle name="셀 확인" xfId="180" builtinId="23" customBuiltin="1"/>
    <cellStyle name="셀 확인 2" xfId="121" xr:uid="{00000000-0005-0000-0000-0000B2060000}"/>
    <cellStyle name="셀 확인 3" xfId="122" xr:uid="{00000000-0005-0000-0000-0000B3060000}"/>
    <cellStyle name="셀 확인 4" xfId="123" xr:uid="{00000000-0005-0000-0000-0000B4060000}"/>
    <cellStyle name="셀 확인 5" xfId="124" xr:uid="{00000000-0005-0000-0000-0000B5060000}"/>
    <cellStyle name="셀 확인 6" xfId="279" xr:uid="{00000000-0005-0000-0000-0000B6060000}"/>
    <cellStyle name="쉼표 [0]" xfId="125" builtinId="6"/>
    <cellStyle name="쉼표 [0] 2" xfId="520" xr:uid="{00000000-0005-0000-0000-0000B8060000}"/>
    <cellStyle name="쉼표 [0] 3" xfId="535" xr:uid="{00000000-0005-0000-0000-0000B9060000}"/>
    <cellStyle name="연결된 셀" xfId="179" builtinId="24" customBuiltin="1"/>
    <cellStyle name="연결된 셀 2" xfId="126" xr:uid="{00000000-0005-0000-0000-0000BB060000}"/>
    <cellStyle name="연결된 셀 3" xfId="127" xr:uid="{00000000-0005-0000-0000-0000BC060000}"/>
    <cellStyle name="연결된 셀 4" xfId="128" xr:uid="{00000000-0005-0000-0000-0000BD060000}"/>
    <cellStyle name="연결된 셀 5" xfId="129" xr:uid="{00000000-0005-0000-0000-0000BE060000}"/>
    <cellStyle name="연결된 셀 6" xfId="278" xr:uid="{00000000-0005-0000-0000-0000BF060000}"/>
    <cellStyle name="요약" xfId="183" builtinId="25" customBuiltin="1"/>
    <cellStyle name="요약 2" xfId="130" xr:uid="{00000000-0005-0000-0000-0000C1060000}"/>
    <cellStyle name="요약 3" xfId="131" xr:uid="{00000000-0005-0000-0000-0000C2060000}"/>
    <cellStyle name="요약 4" xfId="132" xr:uid="{00000000-0005-0000-0000-0000C3060000}"/>
    <cellStyle name="요약 5" xfId="133" xr:uid="{00000000-0005-0000-0000-0000C4060000}"/>
    <cellStyle name="요약 6" xfId="283" xr:uid="{00000000-0005-0000-0000-0000C5060000}"/>
    <cellStyle name="입력" xfId="176" builtinId="20" customBuiltin="1"/>
    <cellStyle name="입력 2" xfId="134" xr:uid="{00000000-0005-0000-0000-0000C7060000}"/>
    <cellStyle name="입력 3" xfId="135" xr:uid="{00000000-0005-0000-0000-0000C8060000}"/>
    <cellStyle name="입력 4" xfId="136" xr:uid="{00000000-0005-0000-0000-0000C9060000}"/>
    <cellStyle name="입력 5" xfId="137" xr:uid="{00000000-0005-0000-0000-0000CA060000}"/>
    <cellStyle name="입력 6" xfId="275" xr:uid="{00000000-0005-0000-0000-0000CB060000}"/>
    <cellStyle name="제목" xfId="168" builtinId="15" customBuiltin="1"/>
    <cellStyle name="제목 1" xfId="169" builtinId="16" customBuiltin="1"/>
    <cellStyle name="제목 1 2" xfId="138" xr:uid="{00000000-0005-0000-0000-0000CE060000}"/>
    <cellStyle name="제목 1 3" xfId="139" xr:uid="{00000000-0005-0000-0000-0000CF060000}"/>
    <cellStyle name="제목 1 4" xfId="140" xr:uid="{00000000-0005-0000-0000-0000D0060000}"/>
    <cellStyle name="제목 1 5" xfId="141" xr:uid="{00000000-0005-0000-0000-0000D1060000}"/>
    <cellStyle name="제목 1 6" xfId="268" xr:uid="{00000000-0005-0000-0000-0000D2060000}"/>
    <cellStyle name="제목 2" xfId="170" builtinId="17" customBuiltin="1"/>
    <cellStyle name="제목 2 2" xfId="142" xr:uid="{00000000-0005-0000-0000-0000D4060000}"/>
    <cellStyle name="제목 2 3" xfId="143" xr:uid="{00000000-0005-0000-0000-0000D5060000}"/>
    <cellStyle name="제목 2 4" xfId="144" xr:uid="{00000000-0005-0000-0000-0000D6060000}"/>
    <cellStyle name="제목 2 5" xfId="145" xr:uid="{00000000-0005-0000-0000-0000D7060000}"/>
    <cellStyle name="제목 2 6" xfId="269" xr:uid="{00000000-0005-0000-0000-0000D8060000}"/>
    <cellStyle name="제목 3" xfId="171" builtinId="18" customBuiltin="1"/>
    <cellStyle name="제목 3 2" xfId="146" xr:uid="{00000000-0005-0000-0000-0000DA060000}"/>
    <cellStyle name="제목 3 3" xfId="147" xr:uid="{00000000-0005-0000-0000-0000DB060000}"/>
    <cellStyle name="제목 3 4" xfId="148" xr:uid="{00000000-0005-0000-0000-0000DC060000}"/>
    <cellStyle name="제목 3 5" xfId="149" xr:uid="{00000000-0005-0000-0000-0000DD060000}"/>
    <cellStyle name="제목 3 6" xfId="270" xr:uid="{00000000-0005-0000-0000-0000DE060000}"/>
    <cellStyle name="제목 4" xfId="172" builtinId="19" customBuiltin="1"/>
    <cellStyle name="제목 4 2" xfId="150" xr:uid="{00000000-0005-0000-0000-0000E0060000}"/>
    <cellStyle name="제목 4 3" xfId="151" xr:uid="{00000000-0005-0000-0000-0000E1060000}"/>
    <cellStyle name="제목 4 4" xfId="152" xr:uid="{00000000-0005-0000-0000-0000E2060000}"/>
    <cellStyle name="제목 4 5" xfId="153" xr:uid="{00000000-0005-0000-0000-0000E3060000}"/>
    <cellStyle name="제목 4 6" xfId="271" xr:uid="{00000000-0005-0000-0000-0000E4060000}"/>
    <cellStyle name="제목 5" xfId="154" xr:uid="{00000000-0005-0000-0000-0000E5060000}"/>
    <cellStyle name="제목 6" xfId="155" xr:uid="{00000000-0005-0000-0000-0000E6060000}"/>
    <cellStyle name="제목 7" xfId="156" xr:uid="{00000000-0005-0000-0000-0000E7060000}"/>
    <cellStyle name="제목 8" xfId="157" xr:uid="{00000000-0005-0000-0000-0000E8060000}"/>
    <cellStyle name="제목 9" xfId="225" xr:uid="{00000000-0005-0000-0000-0000E9060000}"/>
    <cellStyle name="좋음" xfId="173" builtinId="26" customBuiltin="1"/>
    <cellStyle name="좋음 2" xfId="158" xr:uid="{00000000-0005-0000-0000-0000EB060000}"/>
    <cellStyle name="좋음 3" xfId="159" xr:uid="{00000000-0005-0000-0000-0000EC060000}"/>
    <cellStyle name="좋음 4" xfId="160" xr:uid="{00000000-0005-0000-0000-0000ED060000}"/>
    <cellStyle name="좋음 5" xfId="161" xr:uid="{00000000-0005-0000-0000-0000EE060000}"/>
    <cellStyle name="좋음 6" xfId="272" xr:uid="{00000000-0005-0000-0000-0000EF060000}"/>
    <cellStyle name="출력" xfId="177" builtinId="21" customBuiltin="1"/>
    <cellStyle name="출력 2" xfId="162" xr:uid="{00000000-0005-0000-0000-0000F1060000}"/>
    <cellStyle name="출력 3" xfId="163" xr:uid="{00000000-0005-0000-0000-0000F2060000}"/>
    <cellStyle name="출력 4" xfId="164" xr:uid="{00000000-0005-0000-0000-0000F3060000}"/>
    <cellStyle name="출력 5" xfId="165" xr:uid="{00000000-0005-0000-0000-0000F4060000}"/>
    <cellStyle name="출력 6" xfId="276" xr:uid="{00000000-0005-0000-0000-0000F5060000}"/>
    <cellStyle name="표준" xfId="0" builtinId="0"/>
    <cellStyle name="표준 10" xfId="322" xr:uid="{00000000-0005-0000-0000-0000F7060000}"/>
    <cellStyle name="표준 10 2" xfId="890" xr:uid="{00000000-0005-0000-0000-0000F8060000}"/>
    <cellStyle name="표준 10 3" xfId="608" xr:uid="{00000000-0005-0000-0000-0000F9060000}"/>
    <cellStyle name="표준 11" xfId="336" xr:uid="{00000000-0005-0000-0000-0000FA060000}"/>
    <cellStyle name="표준 11 2" xfId="904" xr:uid="{00000000-0005-0000-0000-0000FB060000}"/>
    <cellStyle name="표준 11 3" xfId="622" xr:uid="{00000000-0005-0000-0000-0000FC060000}"/>
    <cellStyle name="표준 12" xfId="350" xr:uid="{00000000-0005-0000-0000-0000FD060000}"/>
    <cellStyle name="표준 12 2" xfId="918" xr:uid="{00000000-0005-0000-0000-0000FE060000}"/>
    <cellStyle name="표준 12 3" xfId="636" xr:uid="{00000000-0005-0000-0000-0000FF060000}"/>
    <cellStyle name="표준 13" xfId="364" xr:uid="{00000000-0005-0000-0000-000000070000}"/>
    <cellStyle name="표준 13 2" xfId="932" xr:uid="{00000000-0005-0000-0000-000001070000}"/>
    <cellStyle name="표준 13 3" xfId="650" xr:uid="{00000000-0005-0000-0000-000002070000}"/>
    <cellStyle name="표준 14" xfId="378" xr:uid="{00000000-0005-0000-0000-000003070000}"/>
    <cellStyle name="표준 14 2" xfId="946" xr:uid="{00000000-0005-0000-0000-000004070000}"/>
    <cellStyle name="표준 14 3" xfId="664" xr:uid="{00000000-0005-0000-0000-000005070000}"/>
    <cellStyle name="표준 15" xfId="392" xr:uid="{00000000-0005-0000-0000-000006070000}"/>
    <cellStyle name="표준 15 2" xfId="960" xr:uid="{00000000-0005-0000-0000-000007070000}"/>
    <cellStyle name="표준 15 3" xfId="678" xr:uid="{00000000-0005-0000-0000-000008070000}"/>
    <cellStyle name="표준 16" xfId="406" xr:uid="{00000000-0005-0000-0000-000009070000}"/>
    <cellStyle name="표준 16 2" xfId="974" xr:uid="{00000000-0005-0000-0000-00000A070000}"/>
    <cellStyle name="표준 16 3" xfId="692" xr:uid="{00000000-0005-0000-0000-00000B070000}"/>
    <cellStyle name="표준 17" xfId="420" xr:uid="{00000000-0005-0000-0000-00000C070000}"/>
    <cellStyle name="표준 17 2" xfId="988" xr:uid="{00000000-0005-0000-0000-00000D070000}"/>
    <cellStyle name="표준 17 3" xfId="706" xr:uid="{00000000-0005-0000-0000-00000E070000}"/>
    <cellStyle name="표준 18" xfId="434" xr:uid="{00000000-0005-0000-0000-00000F070000}"/>
    <cellStyle name="표준 18 2" xfId="1002" xr:uid="{00000000-0005-0000-0000-000010070000}"/>
    <cellStyle name="표준 18 3" xfId="720" xr:uid="{00000000-0005-0000-0000-000011070000}"/>
    <cellStyle name="표준 19" xfId="448" xr:uid="{00000000-0005-0000-0000-000012070000}"/>
    <cellStyle name="표준 19 2" xfId="1016" xr:uid="{00000000-0005-0000-0000-000013070000}"/>
    <cellStyle name="표준 19 3" xfId="734" xr:uid="{00000000-0005-0000-0000-000014070000}"/>
    <cellStyle name="표준 2" xfId="166" xr:uid="{00000000-0005-0000-0000-000015070000}"/>
    <cellStyle name="표준 20" xfId="462" xr:uid="{00000000-0005-0000-0000-000016070000}"/>
    <cellStyle name="표준 20 2" xfId="1030" xr:uid="{00000000-0005-0000-0000-000017070000}"/>
    <cellStyle name="표준 20 3" xfId="748" xr:uid="{00000000-0005-0000-0000-000018070000}"/>
    <cellStyle name="표준 21" xfId="476" xr:uid="{00000000-0005-0000-0000-000019070000}"/>
    <cellStyle name="표준 21 2" xfId="1044" xr:uid="{00000000-0005-0000-0000-00001A070000}"/>
    <cellStyle name="표준 21 3" xfId="762" xr:uid="{00000000-0005-0000-0000-00001B070000}"/>
    <cellStyle name="표준 22" xfId="490" xr:uid="{00000000-0005-0000-0000-00001C070000}"/>
    <cellStyle name="표준 22 2" xfId="1058" xr:uid="{00000000-0005-0000-0000-00001D070000}"/>
    <cellStyle name="표준 22 3" xfId="776" xr:uid="{00000000-0005-0000-0000-00001E070000}"/>
    <cellStyle name="표준 23" xfId="504" xr:uid="{00000000-0005-0000-0000-00001F070000}"/>
    <cellStyle name="표준 23 2" xfId="790" xr:uid="{00000000-0005-0000-0000-000020070000}"/>
    <cellStyle name="표준 24" xfId="505" xr:uid="{00000000-0005-0000-0000-000021070000}"/>
    <cellStyle name="표준 24 2" xfId="791" xr:uid="{00000000-0005-0000-0000-000022070000}"/>
    <cellStyle name="표준 25" xfId="506" xr:uid="{00000000-0005-0000-0000-000023070000}"/>
    <cellStyle name="표준 25 2" xfId="792" xr:uid="{00000000-0005-0000-0000-000024070000}"/>
    <cellStyle name="표준 26" xfId="534" xr:uid="{00000000-0005-0000-0000-000025070000}"/>
    <cellStyle name="표준 27" xfId="521" xr:uid="{00000000-0005-0000-0000-000026070000}"/>
    <cellStyle name="표준 28" xfId="1072" xr:uid="{00000000-0005-0000-0000-000027070000}"/>
    <cellStyle name="표준 29" xfId="1086" xr:uid="{00000000-0005-0000-0000-000028070000}"/>
    <cellStyle name="표준 3" xfId="208" xr:uid="{00000000-0005-0000-0000-000029070000}"/>
    <cellStyle name="표준 3 2" xfId="222" xr:uid="{00000000-0005-0000-0000-00002A070000}"/>
    <cellStyle name="표준 3 2 2" xfId="832" xr:uid="{00000000-0005-0000-0000-00002B070000}"/>
    <cellStyle name="표준 3 2 3" xfId="550" xr:uid="{00000000-0005-0000-0000-00002C070000}"/>
    <cellStyle name="표준 3 3" xfId="818" xr:uid="{00000000-0005-0000-0000-00002D070000}"/>
    <cellStyle name="표준 3 4" xfId="536" xr:uid="{00000000-0005-0000-0000-00002E070000}"/>
    <cellStyle name="표준 30" xfId="1100" xr:uid="{00000000-0005-0000-0000-00002F070000}"/>
    <cellStyle name="표준 31" xfId="1114" xr:uid="{00000000-0005-0000-0000-000030070000}"/>
    <cellStyle name="표준 32" xfId="1128" xr:uid="{00000000-0005-0000-0000-000031070000}"/>
    <cellStyle name="표준 33" xfId="1142" xr:uid="{00000000-0005-0000-0000-000032070000}"/>
    <cellStyle name="표준 34" xfId="1156" xr:uid="{00000000-0005-0000-0000-000033070000}"/>
    <cellStyle name="표준 35" xfId="1170" xr:uid="{00000000-0005-0000-0000-000034070000}"/>
    <cellStyle name="표준 36" xfId="1184" xr:uid="{00000000-0005-0000-0000-000035070000}"/>
    <cellStyle name="표준 37" xfId="1198" xr:uid="{00000000-0005-0000-0000-000036070000}"/>
    <cellStyle name="표준 38" xfId="1212" xr:uid="{00000000-0005-0000-0000-000037070000}"/>
    <cellStyle name="표준 39" xfId="1226" xr:uid="{00000000-0005-0000-0000-000038070000}"/>
    <cellStyle name="표준 4" xfId="224" xr:uid="{00000000-0005-0000-0000-000039070000}"/>
    <cellStyle name="표준 4 2" xfId="834" xr:uid="{00000000-0005-0000-0000-00003A070000}"/>
    <cellStyle name="표준 4 3" xfId="552" xr:uid="{00000000-0005-0000-0000-00003B070000}"/>
    <cellStyle name="표준 40" xfId="1240" xr:uid="{00000000-0005-0000-0000-00003C070000}"/>
    <cellStyle name="표준 41" xfId="1254" xr:uid="{00000000-0005-0000-0000-00003D070000}"/>
    <cellStyle name="표준 42" xfId="1268" xr:uid="{00000000-0005-0000-0000-00003E070000}"/>
    <cellStyle name="표준 43" xfId="1282" xr:uid="{00000000-0005-0000-0000-00003F070000}"/>
    <cellStyle name="표준 44" xfId="1296" xr:uid="{00000000-0005-0000-0000-000040070000}"/>
    <cellStyle name="표준 45" xfId="1310" xr:uid="{00000000-0005-0000-0000-000041070000}"/>
    <cellStyle name="표준 46" xfId="1324" xr:uid="{00000000-0005-0000-0000-000042070000}"/>
    <cellStyle name="표준 47" xfId="1338" xr:uid="{00000000-0005-0000-0000-000043070000}"/>
    <cellStyle name="표준 48" xfId="1352" xr:uid="{00000000-0005-0000-0000-000044070000}"/>
    <cellStyle name="표준 49" xfId="1366" xr:uid="{00000000-0005-0000-0000-000045070000}"/>
    <cellStyle name="표준 5" xfId="239" xr:uid="{00000000-0005-0000-0000-000046070000}"/>
    <cellStyle name="표준 5 2" xfId="848" xr:uid="{00000000-0005-0000-0000-000047070000}"/>
    <cellStyle name="표준 5 3" xfId="566" xr:uid="{00000000-0005-0000-0000-000048070000}"/>
    <cellStyle name="표준 50" xfId="1380" xr:uid="{00000000-0005-0000-0000-000049070000}"/>
    <cellStyle name="표준 51" xfId="1394" xr:uid="{00000000-0005-0000-0000-00004A070000}"/>
    <cellStyle name="표준 52" xfId="1408" xr:uid="{00000000-0005-0000-0000-00004B070000}"/>
    <cellStyle name="표준 53" xfId="1422" xr:uid="{00000000-0005-0000-0000-00004C070000}"/>
    <cellStyle name="표준 54" xfId="1423" xr:uid="{00000000-0005-0000-0000-00004D070000}"/>
    <cellStyle name="표준 55" xfId="1437" xr:uid="{00000000-0005-0000-0000-00004E070000}"/>
    <cellStyle name="표준 56" xfId="1451" xr:uid="{00000000-0005-0000-0000-00004F070000}"/>
    <cellStyle name="표준 57" xfId="1465" xr:uid="{00000000-0005-0000-0000-000050070000}"/>
    <cellStyle name="표준 58" xfId="1479" xr:uid="{00000000-0005-0000-0000-000051070000}"/>
    <cellStyle name="표준 59" xfId="1493" xr:uid="{00000000-0005-0000-0000-000052070000}"/>
    <cellStyle name="표준 6" xfId="167" xr:uid="{00000000-0005-0000-0000-000053070000}"/>
    <cellStyle name="표준 60" xfId="1507" xr:uid="{00000000-0005-0000-0000-000054070000}"/>
    <cellStyle name="표준 61" xfId="1521" xr:uid="{00000000-0005-0000-0000-000055070000}"/>
    <cellStyle name="표준 62" xfId="1535" xr:uid="{00000000-0005-0000-0000-000056070000}"/>
    <cellStyle name="표준 63" xfId="1549" xr:uid="{00000000-0005-0000-0000-000057070000}"/>
    <cellStyle name="표준 64" xfId="1563" xr:uid="{00000000-0005-0000-0000-000058070000}"/>
    <cellStyle name="표준 65" xfId="1577" xr:uid="{00000000-0005-0000-0000-000059070000}"/>
    <cellStyle name="표준 66" xfId="1591" xr:uid="{00000000-0005-0000-0000-00005A070000}"/>
    <cellStyle name="표준 67" xfId="1605" xr:uid="{00000000-0005-0000-0000-00005B070000}"/>
    <cellStyle name="표준 68" xfId="1619" xr:uid="{00000000-0005-0000-0000-00005C070000}"/>
    <cellStyle name="표준 69" xfId="1633" xr:uid="{00000000-0005-0000-0000-00005D070000}"/>
    <cellStyle name="표준 7" xfId="253" xr:uid="{00000000-0005-0000-0000-00005E070000}"/>
    <cellStyle name="표준 7 2" xfId="862" xr:uid="{00000000-0005-0000-0000-00005F070000}"/>
    <cellStyle name="표준 7 3" xfId="580" xr:uid="{00000000-0005-0000-0000-000060070000}"/>
    <cellStyle name="표준 70" xfId="1647" xr:uid="{00000000-0005-0000-0000-000061070000}"/>
    <cellStyle name="표준 71" xfId="1661" xr:uid="{00000000-0005-0000-0000-000062070000}"/>
    <cellStyle name="표준 72" xfId="1675" xr:uid="{00000000-0005-0000-0000-000063070000}"/>
    <cellStyle name="표준 73" xfId="1689" xr:uid="{00000000-0005-0000-0000-000064070000}"/>
    <cellStyle name="표준 74" xfId="1703" xr:uid="{00000000-0005-0000-0000-000065070000}"/>
    <cellStyle name="표준 75" xfId="1717" xr:uid="{00000000-0005-0000-0000-000066070000}"/>
    <cellStyle name="표준 76" xfId="1731" xr:uid="{00000000-0005-0000-0000-000067070000}"/>
    <cellStyle name="표준 77" xfId="1752" xr:uid="{00000000-0005-0000-0000-000068070000}"/>
    <cellStyle name="표준 78" xfId="1772" xr:uid="{00000000-0005-0000-0000-000069070000}"/>
    <cellStyle name="표준 79" xfId="1792" xr:uid="{00000000-0005-0000-0000-00006A070000}"/>
    <cellStyle name="표준 8" xfId="267" xr:uid="{00000000-0005-0000-0000-00006B070000}"/>
    <cellStyle name="표준 8 2" xfId="876" xr:uid="{00000000-0005-0000-0000-00006C070000}"/>
    <cellStyle name="표준 8 3" xfId="594" xr:uid="{00000000-0005-0000-0000-00006D070000}"/>
    <cellStyle name="표준 80" xfId="1793" xr:uid="{00000000-0005-0000-0000-00006E070000}"/>
    <cellStyle name="표준 81" xfId="1813" xr:uid="{00000000-0005-0000-0000-00006F070000}"/>
    <cellStyle name="표준 82" xfId="1827" xr:uid="{00000000-0005-0000-0000-000070070000}"/>
    <cellStyle name="표준 83" xfId="1841" xr:uid="{00000000-0005-0000-0000-000071070000}"/>
    <cellStyle name="표준 84" xfId="1855" xr:uid="{00000000-0005-0000-0000-000072070000}"/>
    <cellStyle name="표준 85" xfId="1869" xr:uid="{00000000-0005-0000-0000-000073070000}"/>
    <cellStyle name="표준 86" xfId="1883" xr:uid="{00000000-0005-0000-0000-000074070000}"/>
    <cellStyle name="표준 87" xfId="1897" xr:uid="{00000000-0005-0000-0000-000075070000}"/>
    <cellStyle name="표준 88" xfId="1911" xr:uid="{4229E6D2-0019-42E8-8693-78EC4B15F64D}"/>
    <cellStyle name="표준 9" xfId="308" xr:uid="{00000000-0005-0000-0000-000076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190500</xdr:colOff>
      <xdr:row>2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41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190500</xdr:colOff>
      <xdr:row>2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96488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0</xdr:colOff>
      <xdr:row>1</xdr:row>
      <xdr:rowOff>0</xdr:rowOff>
    </xdr:from>
    <xdr:ext cx="190500" cy="149087"/>
    <xdr:pic>
      <xdr:nvPicPr>
        <xdr:cNvPr id="4" name="그림 3">
          <a:extLst>
            <a:ext uri="{FF2B5EF4-FFF2-40B4-BE49-F238E27FC236}">
              <a16:creationId xmlns:a16="http://schemas.microsoft.com/office/drawing/2014/main" id="{3D858DD0-E694-40EE-A793-902D3B7EE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6065" y="5367130"/>
          <a:ext cx="190500" cy="14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yeon shin" refreshedDate="46107.556335300927" createdVersion="8" refreshedVersion="8" minRefreshableVersion="3" recordCount="42" xr:uid="{FEF1960E-A92D-41A2-85AF-C99101E9177C}">
  <cacheSource type="worksheet">
    <worksheetSource ref="A1:I1048576" sheet="Sheet1"/>
  </cacheSource>
  <cacheFields count="9">
    <cacheField name="배송코드" numFmtId="0">
      <sharedItems containsString="0" containsBlank="1" containsNumber="1" containsInteger="1" minValue="81011010" maxValue="89011174" count="5">
        <n v="81033036"/>
        <n v="89011174"/>
        <m/>
        <n v="81011012" u="1"/>
        <n v="81011010" u="1"/>
      </sharedItems>
    </cacheField>
    <cacheField name="센터명" numFmtId="0">
      <sharedItems containsBlank="1" count="5">
        <s v="평택"/>
        <s v="대구"/>
        <m/>
        <s v="여주" u="1"/>
        <s v="시화" u="1"/>
      </sharedItems>
    </cacheField>
    <cacheField name="상품코드" numFmtId="0">
      <sharedItems containsBlank="1" count="7">
        <s v="ME90621L3L"/>
        <s v="ME90621M3M"/>
        <m/>
        <s v="ME80421DTD" u="1"/>
        <s v="ME90621L2L" u="1"/>
        <s v="ME90621M2M" u="1"/>
        <s v="ME00621C44" u="1"/>
      </sharedItems>
    </cacheField>
    <cacheField name="제품명" numFmtId="0">
      <sharedItems containsBlank="1" count="5">
        <s v="하다라보 고쿠쥰 로션 170ml*2입"/>
        <s v="하다라보 고쿠쥰 밀크 140ml*2입"/>
        <m/>
        <s v="신)멘소래담 롤온 로션 50ml*2입" u="1"/>
        <s v="아크네스 포밍워시 200ml*2입" u="1"/>
      </sharedItems>
    </cacheField>
    <cacheField name="UNIT수량" numFmtId="0">
      <sharedItems containsString="0" containsBlank="1" containsNumber="1" containsInteger="1" minValue="144" maxValue="144"/>
    </cacheField>
    <cacheField name="UNIT단가" numFmtId="0">
      <sharedItems containsString="0" containsBlank="1" containsNumber="1" containsInteger="1" minValue="11655" maxValue="12784"/>
    </cacheField>
    <cacheField name="Total Amount" numFmtId="0">
      <sharedItems containsString="0" containsBlank="1" containsNumber="1" containsInteger="1" minValue="1678320" maxValue="1840896"/>
    </cacheField>
    <cacheField name="LOT" numFmtId="0">
      <sharedItems containsNonDate="0" containsString="0" containsBlank="1"/>
    </cacheField>
    <cacheField name="점포명" numFmtId="0">
      <sharedItems containsBlank="1" count="26">
        <s v="TR스타필드부천점"/>
        <s v="TR일산점"/>
        <s v="TR양산점"/>
        <s v="TR비산점"/>
        <s v="TR스타필드하남점"/>
        <s v="TR마곡점"/>
        <s v="TR수원점"/>
        <s v="TR스타필드수원화서점"/>
        <s v="TR연산점"/>
        <s v="TR월평점"/>
        <m/>
        <s v="TR김포점" u="1"/>
        <s v="TR서면점" u="1"/>
        <s v="TR동탄점" u="1"/>
        <s v="TR안산점" u="1"/>
        <s v="TR송림점" u="1"/>
        <s v="TR구월점" u="1"/>
        <s v="TR스타필드안성점" u="1"/>
        <s v="TR월계점" u="1"/>
        <s v="TR스타필드위례점" u="1"/>
        <s v="TR구성점" u="1"/>
        <s v="TR스타필드고양점" u="1"/>
        <s v="TR천안점" u="1"/>
        <s v="TR스타필드명지점" u="1"/>
        <s v="TR군포점" u="1"/>
        <s v="TR킨텍스점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x v="0"/>
    <x v="0"/>
    <n v="144"/>
    <n v="11655"/>
    <n v="1678320"/>
    <m/>
    <x v="0"/>
  </r>
  <r>
    <x v="0"/>
    <x v="0"/>
    <x v="1"/>
    <x v="1"/>
    <n v="144"/>
    <n v="12784"/>
    <n v="1840896"/>
    <m/>
    <x v="0"/>
  </r>
  <r>
    <x v="0"/>
    <x v="0"/>
    <x v="0"/>
    <x v="0"/>
    <n v="144"/>
    <n v="11655"/>
    <n v="1678320"/>
    <m/>
    <x v="1"/>
  </r>
  <r>
    <x v="1"/>
    <x v="1"/>
    <x v="0"/>
    <x v="0"/>
    <n v="144"/>
    <n v="11655"/>
    <n v="1678320"/>
    <m/>
    <x v="2"/>
  </r>
  <r>
    <x v="1"/>
    <x v="1"/>
    <x v="1"/>
    <x v="1"/>
    <n v="144"/>
    <n v="12784"/>
    <n v="1840896"/>
    <m/>
    <x v="2"/>
  </r>
  <r>
    <x v="1"/>
    <x v="1"/>
    <x v="1"/>
    <x v="1"/>
    <n v="144"/>
    <n v="12784"/>
    <n v="1840896"/>
    <m/>
    <x v="3"/>
  </r>
  <r>
    <x v="0"/>
    <x v="0"/>
    <x v="1"/>
    <x v="1"/>
    <n v="144"/>
    <n v="12784"/>
    <n v="1840896"/>
    <m/>
    <x v="4"/>
  </r>
  <r>
    <x v="0"/>
    <x v="0"/>
    <x v="1"/>
    <x v="1"/>
    <n v="144"/>
    <n v="12784"/>
    <n v="1840896"/>
    <m/>
    <x v="5"/>
  </r>
  <r>
    <x v="0"/>
    <x v="0"/>
    <x v="1"/>
    <x v="1"/>
    <n v="144"/>
    <n v="12784"/>
    <n v="1840896"/>
    <m/>
    <x v="6"/>
  </r>
  <r>
    <x v="0"/>
    <x v="0"/>
    <x v="1"/>
    <x v="1"/>
    <n v="144"/>
    <n v="12784"/>
    <n v="1840896"/>
    <m/>
    <x v="7"/>
  </r>
  <r>
    <x v="1"/>
    <x v="1"/>
    <x v="1"/>
    <x v="1"/>
    <n v="144"/>
    <n v="12784"/>
    <n v="1840896"/>
    <m/>
    <x v="8"/>
  </r>
  <r>
    <x v="0"/>
    <x v="0"/>
    <x v="0"/>
    <x v="0"/>
    <n v="144"/>
    <n v="11655"/>
    <n v="1678320"/>
    <m/>
    <x v="9"/>
  </r>
  <r>
    <x v="0"/>
    <x v="0"/>
    <x v="1"/>
    <x v="1"/>
    <n v="144"/>
    <n v="12784"/>
    <n v="1840896"/>
    <m/>
    <x v="9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D7E3D-C145-499E-8DE5-73304B9D283D}" name="피벗 테이블27" cacheId="4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F18" firstHeaderRow="1" firstDataRow="1" firstDataCol="5"/>
  <pivotFields count="9">
    <pivotField axis="axisRow" compact="0" outline="0" showAll="0" defaultSubtotal="0">
      <items count="5">
        <item m="1" x="4"/>
        <item m="1" x="3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1"/>
        <item m="1" x="4"/>
        <item m="1" x="3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m="1" x="4"/>
        <item m="1" x="3"/>
        <item m="1" x="5"/>
        <item x="2"/>
        <item m="1" x="6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m="1" x="3"/>
        <item x="1"/>
        <item x="2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6">
        <item m="1" x="11"/>
        <item m="1" x="13"/>
        <item m="1" x="12"/>
        <item x="6"/>
        <item m="1" x="21"/>
        <item m="1" x="23"/>
        <item x="0"/>
        <item x="7"/>
        <item m="1" x="17"/>
        <item m="1" x="19"/>
        <item x="4"/>
        <item m="1" x="14"/>
        <item x="2"/>
        <item x="9"/>
        <item m="1" x="22"/>
        <item m="1" x="25"/>
        <item x="10"/>
        <item x="3"/>
        <item x="8"/>
        <item m="1" x="24"/>
        <item m="1" x="20"/>
        <item m="1" x="18"/>
        <item m="1" x="15"/>
        <item x="5"/>
        <item x="1"/>
        <item m="1" x="1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0"/>
    <field x="1"/>
    <field x="8"/>
    <field x="2"/>
    <field x="3"/>
  </rowFields>
  <rowItems count="15">
    <i>
      <x v="2"/>
      <x/>
      <x v="12"/>
      <x v="5"/>
      <x/>
    </i>
    <i r="3">
      <x v="6"/>
      <x v="2"/>
    </i>
    <i r="2">
      <x v="17"/>
      <x v="6"/>
      <x v="2"/>
    </i>
    <i r="2">
      <x v="18"/>
      <x v="6"/>
      <x v="2"/>
    </i>
    <i>
      <x v="3"/>
      <x v="3"/>
      <x v="16"/>
      <x v="3"/>
      <x v="3"/>
    </i>
    <i>
      <x v="4"/>
      <x v="4"/>
      <x v="3"/>
      <x v="6"/>
      <x v="2"/>
    </i>
    <i r="2">
      <x v="6"/>
      <x v="5"/>
      <x/>
    </i>
    <i r="3">
      <x v="6"/>
      <x v="2"/>
    </i>
    <i r="2">
      <x v="7"/>
      <x v="6"/>
      <x v="2"/>
    </i>
    <i r="2">
      <x v="10"/>
      <x v="6"/>
      <x v="2"/>
    </i>
    <i r="2">
      <x v="13"/>
      <x v="5"/>
      <x/>
    </i>
    <i r="3">
      <x v="6"/>
      <x v="2"/>
    </i>
    <i r="2">
      <x v="23"/>
      <x v="6"/>
      <x v="2"/>
    </i>
    <i r="2">
      <x v="24"/>
      <x v="5"/>
      <x/>
    </i>
    <i t="grand">
      <x/>
    </i>
  </rowItems>
  <colItems count="1">
    <i/>
  </colItems>
  <dataFields count="1">
    <dataField name="합계 : UNIT수량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A1:AA42"/>
  <sheetViews>
    <sheetView zoomScale="85" zoomScaleNormal="85" workbookViewId="0">
      <pane ySplit="1" topLeftCell="A2" activePane="bottomLeft" state="frozen"/>
      <selection pane="bottomLeft" activeCell="A2" sqref="A2:XFD14"/>
    </sheetView>
  </sheetViews>
  <sheetFormatPr defaultRowHeight="14.4"/>
  <cols>
    <col min="1" max="1" width="9.59765625" bestFit="1" customWidth="1"/>
    <col min="2" max="2" width="9" bestFit="1" customWidth="1"/>
    <col min="3" max="3" width="11.59765625" customWidth="1"/>
    <col min="4" max="4" width="9" bestFit="1" customWidth="1"/>
    <col min="5" max="5" width="17" customWidth="1"/>
    <col min="6" max="6" width="16.59765625" style="16" bestFit="1" customWidth="1"/>
    <col min="7" max="7" width="29.59765625" customWidth="1"/>
    <col min="8" max="9" width="9" bestFit="1" customWidth="1"/>
    <col min="10" max="10" width="25.3984375" bestFit="1" customWidth="1"/>
    <col min="11" max="11" width="9" bestFit="1" customWidth="1"/>
    <col min="12" max="12" width="11.296875" bestFit="1" customWidth="1"/>
    <col min="13" max="13" width="9.59765625" bestFit="1" customWidth="1"/>
    <col min="15" max="15" width="12.59765625" customWidth="1"/>
    <col min="16" max="16" width="9" bestFit="1" customWidth="1"/>
    <col min="17" max="17" width="9.59765625" bestFit="1" customWidth="1"/>
    <col min="18" max="19" width="9" bestFit="1" customWidth="1"/>
  </cols>
  <sheetData>
    <row r="1" spans="1:27" ht="18.75" customHeight="1">
      <c r="A1" t="s">
        <v>0</v>
      </c>
      <c r="B1" t="s">
        <v>25</v>
      </c>
      <c r="C1" t="s">
        <v>26</v>
      </c>
      <c r="D1" t="s">
        <v>27</v>
      </c>
      <c r="E1" t="s">
        <v>1</v>
      </c>
      <c r="F1" s="16" t="s">
        <v>2</v>
      </c>
      <c r="G1" t="s">
        <v>3</v>
      </c>
      <c r="H1" t="s">
        <v>4</v>
      </c>
      <c r="I1" t="s">
        <v>28</v>
      </c>
      <c r="J1" t="s">
        <v>29</v>
      </c>
      <c r="K1" t="s">
        <v>30</v>
      </c>
      <c r="L1" t="s">
        <v>5</v>
      </c>
      <c r="M1" t="s">
        <v>6</v>
      </c>
      <c r="N1" t="s">
        <v>7</v>
      </c>
      <c r="O1" s="43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s="72" t="s">
        <v>85</v>
      </c>
    </row>
    <row r="2" spans="1:27" ht="52.2">
      <c r="A2" s="76">
        <v>20260326</v>
      </c>
      <c r="B2" s="77">
        <v>1368001</v>
      </c>
      <c r="C2" s="68" t="s">
        <v>66</v>
      </c>
      <c r="D2" s="77">
        <v>2017</v>
      </c>
      <c r="E2" s="68" t="s">
        <v>101</v>
      </c>
      <c r="F2" s="77">
        <v>8809020344895</v>
      </c>
      <c r="G2" s="68" t="s">
        <v>56</v>
      </c>
      <c r="H2" s="69">
        <v>11655</v>
      </c>
      <c r="I2" s="69">
        <v>12</v>
      </c>
      <c r="J2" s="69">
        <v>12</v>
      </c>
      <c r="K2" s="69">
        <v>144</v>
      </c>
      <c r="L2" s="69">
        <v>1678320</v>
      </c>
      <c r="M2" s="77">
        <v>1278300779</v>
      </c>
      <c r="N2" s="68" t="s">
        <v>87</v>
      </c>
      <c r="O2" s="77">
        <v>20260327</v>
      </c>
      <c r="P2" s="77">
        <v>9150</v>
      </c>
      <c r="Q2" s="68" t="s">
        <v>107</v>
      </c>
      <c r="R2" s="77">
        <v>20260327</v>
      </c>
      <c r="S2" s="68" t="s">
        <v>90</v>
      </c>
      <c r="T2" s="77">
        <v>2017</v>
      </c>
      <c r="U2" s="68" t="s">
        <v>101</v>
      </c>
      <c r="V2" s="68"/>
      <c r="W2" s="68"/>
      <c r="X2" s="68"/>
      <c r="Y2" s="68"/>
      <c r="Z2" s="68"/>
      <c r="AA2" s="68" t="s">
        <v>82</v>
      </c>
    </row>
    <row r="3" spans="1:27" ht="52.2">
      <c r="A3" s="76">
        <v>20260326</v>
      </c>
      <c r="B3" s="77">
        <v>1368001</v>
      </c>
      <c r="C3" s="68" t="s">
        <v>66</v>
      </c>
      <c r="D3" s="77">
        <v>2017</v>
      </c>
      <c r="E3" s="68" t="s">
        <v>101</v>
      </c>
      <c r="F3" s="77">
        <v>8809020344901</v>
      </c>
      <c r="G3" s="68" t="s">
        <v>58</v>
      </c>
      <c r="H3" s="69">
        <v>12784</v>
      </c>
      <c r="I3" s="69">
        <v>12</v>
      </c>
      <c r="J3" s="69">
        <v>12</v>
      </c>
      <c r="K3" s="69">
        <v>144</v>
      </c>
      <c r="L3" s="69">
        <v>1840896</v>
      </c>
      <c r="M3" s="77">
        <v>1278300779</v>
      </c>
      <c r="N3" s="68" t="s">
        <v>87</v>
      </c>
      <c r="O3" s="77">
        <v>20260327</v>
      </c>
      <c r="P3" s="77">
        <v>9150</v>
      </c>
      <c r="Q3" s="68" t="s">
        <v>107</v>
      </c>
      <c r="R3" s="77">
        <v>20260327</v>
      </c>
      <c r="S3" s="68" t="s">
        <v>90</v>
      </c>
      <c r="T3" s="77">
        <v>2017</v>
      </c>
      <c r="U3" s="68" t="s">
        <v>101</v>
      </c>
      <c r="V3" s="68"/>
      <c r="W3" s="68"/>
      <c r="X3" s="68"/>
      <c r="Y3" s="68"/>
      <c r="Z3" s="68"/>
      <c r="AA3" s="68" t="s">
        <v>82</v>
      </c>
    </row>
    <row r="4" spans="1:27" ht="52.2">
      <c r="A4" s="76">
        <v>20260326</v>
      </c>
      <c r="B4" s="77">
        <v>1368001</v>
      </c>
      <c r="C4" s="68" t="s">
        <v>66</v>
      </c>
      <c r="D4" s="77">
        <v>2010</v>
      </c>
      <c r="E4" s="68" t="s">
        <v>105</v>
      </c>
      <c r="F4" s="77">
        <v>8809020344895</v>
      </c>
      <c r="G4" s="68" t="s">
        <v>56</v>
      </c>
      <c r="H4" s="69">
        <v>11655</v>
      </c>
      <c r="I4" s="69">
        <v>12</v>
      </c>
      <c r="J4" s="69">
        <v>12</v>
      </c>
      <c r="K4" s="69">
        <v>144</v>
      </c>
      <c r="L4" s="69">
        <v>1678320</v>
      </c>
      <c r="M4" s="77">
        <v>1278300870</v>
      </c>
      <c r="N4" s="68" t="s">
        <v>87</v>
      </c>
      <c r="O4" s="77">
        <v>20260327</v>
      </c>
      <c r="P4" s="77">
        <v>9150</v>
      </c>
      <c r="Q4" s="68" t="s">
        <v>107</v>
      </c>
      <c r="R4" s="77">
        <v>20260327</v>
      </c>
      <c r="S4" s="68" t="s">
        <v>90</v>
      </c>
      <c r="T4" s="77">
        <v>2010</v>
      </c>
      <c r="U4" s="68" t="s">
        <v>105</v>
      </c>
      <c r="V4" s="68"/>
      <c r="W4" s="68"/>
      <c r="X4" s="68"/>
      <c r="Y4" s="68"/>
      <c r="Z4" s="68"/>
      <c r="AA4" s="68" t="s">
        <v>82</v>
      </c>
    </row>
    <row r="5" spans="1:27" ht="52.2">
      <c r="A5" s="76">
        <v>20260326</v>
      </c>
      <c r="B5" s="77">
        <v>1368001</v>
      </c>
      <c r="C5" s="68" t="s">
        <v>66</v>
      </c>
      <c r="D5" s="77">
        <v>2008</v>
      </c>
      <c r="E5" s="68" t="s">
        <v>104</v>
      </c>
      <c r="F5" s="77">
        <v>8809020344895</v>
      </c>
      <c r="G5" s="68" t="s">
        <v>56</v>
      </c>
      <c r="H5" s="69">
        <v>11655</v>
      </c>
      <c r="I5" s="69">
        <v>12</v>
      </c>
      <c r="J5" s="69">
        <v>12</v>
      </c>
      <c r="K5" s="69">
        <v>144</v>
      </c>
      <c r="L5" s="69">
        <v>1678320</v>
      </c>
      <c r="M5" s="77">
        <v>1278300871</v>
      </c>
      <c r="N5" s="68" t="s">
        <v>87</v>
      </c>
      <c r="O5" s="77">
        <v>20260327</v>
      </c>
      <c r="P5" s="77">
        <v>9102</v>
      </c>
      <c r="Q5" s="68" t="s">
        <v>108</v>
      </c>
      <c r="R5" s="77">
        <v>20260327</v>
      </c>
      <c r="S5" s="68" t="s">
        <v>90</v>
      </c>
      <c r="T5" s="77">
        <v>2008</v>
      </c>
      <c r="U5" s="68" t="s">
        <v>104</v>
      </c>
      <c r="V5" s="68"/>
      <c r="W5" s="68"/>
      <c r="X5" s="68"/>
      <c r="Y5" s="68"/>
      <c r="Z5" s="68"/>
      <c r="AA5" s="68" t="s">
        <v>82</v>
      </c>
    </row>
    <row r="6" spans="1:27" ht="52.2">
      <c r="A6" s="76">
        <v>20260326</v>
      </c>
      <c r="B6" s="77">
        <v>1368001</v>
      </c>
      <c r="C6" s="68" t="s">
        <v>66</v>
      </c>
      <c r="D6" s="77">
        <v>2008</v>
      </c>
      <c r="E6" s="68" t="s">
        <v>104</v>
      </c>
      <c r="F6" s="77">
        <v>8809020344901</v>
      </c>
      <c r="G6" s="68" t="s">
        <v>58</v>
      </c>
      <c r="H6" s="69">
        <v>12784</v>
      </c>
      <c r="I6" s="69">
        <v>12</v>
      </c>
      <c r="J6" s="69">
        <v>12</v>
      </c>
      <c r="K6" s="69">
        <v>144</v>
      </c>
      <c r="L6" s="69">
        <v>1840896</v>
      </c>
      <c r="M6" s="77">
        <v>1278300871</v>
      </c>
      <c r="N6" s="68" t="s">
        <v>87</v>
      </c>
      <c r="O6" s="77">
        <v>20260327</v>
      </c>
      <c r="P6" s="77">
        <v>9102</v>
      </c>
      <c r="Q6" s="68" t="s">
        <v>108</v>
      </c>
      <c r="R6" s="77">
        <v>20260327</v>
      </c>
      <c r="S6" s="68" t="s">
        <v>90</v>
      </c>
      <c r="T6" s="77">
        <v>2008</v>
      </c>
      <c r="U6" s="68" t="s">
        <v>104</v>
      </c>
      <c r="V6" s="68"/>
      <c r="W6" s="68"/>
      <c r="X6" s="68"/>
      <c r="Y6" s="68"/>
      <c r="Z6" s="68"/>
      <c r="AA6" s="68" t="s">
        <v>82</v>
      </c>
    </row>
    <row r="7" spans="1:27" ht="52.2">
      <c r="A7" s="76">
        <v>20260326</v>
      </c>
      <c r="B7" s="77">
        <v>1368001</v>
      </c>
      <c r="C7" s="68" t="s">
        <v>66</v>
      </c>
      <c r="D7" s="77">
        <v>2005</v>
      </c>
      <c r="E7" s="68" t="s">
        <v>91</v>
      </c>
      <c r="F7" s="77">
        <v>8809020344901</v>
      </c>
      <c r="G7" s="68" t="s">
        <v>58</v>
      </c>
      <c r="H7" s="69">
        <v>12784</v>
      </c>
      <c r="I7" s="69">
        <v>12</v>
      </c>
      <c r="J7" s="69">
        <v>12</v>
      </c>
      <c r="K7" s="69">
        <v>144</v>
      </c>
      <c r="L7" s="69">
        <v>1840896</v>
      </c>
      <c r="M7" s="77">
        <v>1278300956</v>
      </c>
      <c r="N7" s="68" t="s">
        <v>87</v>
      </c>
      <c r="O7" s="77">
        <v>20260327</v>
      </c>
      <c r="P7" s="77">
        <v>9102</v>
      </c>
      <c r="Q7" s="68" t="s">
        <v>108</v>
      </c>
      <c r="R7" s="77">
        <v>20260327</v>
      </c>
      <c r="S7" s="68" t="s">
        <v>90</v>
      </c>
      <c r="T7" s="77">
        <v>2005</v>
      </c>
      <c r="U7" s="68" t="s">
        <v>91</v>
      </c>
      <c r="V7" s="68"/>
      <c r="W7" s="68"/>
      <c r="X7" s="68"/>
      <c r="Y7" s="68"/>
      <c r="Z7" s="68"/>
      <c r="AA7" s="68" t="s">
        <v>82</v>
      </c>
    </row>
    <row r="8" spans="1:27" ht="52.2">
      <c r="A8" s="76">
        <v>20260326</v>
      </c>
      <c r="B8" s="77">
        <v>1368001</v>
      </c>
      <c r="C8" s="68" t="s">
        <v>66</v>
      </c>
      <c r="D8" s="77">
        <v>2011</v>
      </c>
      <c r="E8" s="68" t="s">
        <v>98</v>
      </c>
      <c r="F8" s="77">
        <v>8809020344901</v>
      </c>
      <c r="G8" s="68" t="s">
        <v>58</v>
      </c>
      <c r="H8" s="69">
        <v>12784</v>
      </c>
      <c r="I8" s="69">
        <v>12</v>
      </c>
      <c r="J8" s="69">
        <v>12</v>
      </c>
      <c r="K8" s="69">
        <v>144</v>
      </c>
      <c r="L8" s="69">
        <v>1840896</v>
      </c>
      <c r="M8" s="77">
        <v>1278300957</v>
      </c>
      <c r="N8" s="68" t="s">
        <v>87</v>
      </c>
      <c r="O8" s="77">
        <v>20260327</v>
      </c>
      <c r="P8" s="77">
        <v>9150</v>
      </c>
      <c r="Q8" s="68" t="s">
        <v>107</v>
      </c>
      <c r="R8" s="77">
        <v>20260327</v>
      </c>
      <c r="S8" s="68" t="s">
        <v>90</v>
      </c>
      <c r="T8" s="77">
        <v>2011</v>
      </c>
      <c r="U8" s="68" t="s">
        <v>98</v>
      </c>
      <c r="V8" s="68"/>
      <c r="W8" s="68"/>
      <c r="X8" s="68"/>
      <c r="Y8" s="68"/>
      <c r="Z8" s="68"/>
      <c r="AA8" s="68" t="s">
        <v>82</v>
      </c>
    </row>
    <row r="9" spans="1:27" ht="52.2">
      <c r="A9" s="76">
        <v>20260326</v>
      </c>
      <c r="B9" s="77">
        <v>1368001</v>
      </c>
      <c r="C9" s="68" t="s">
        <v>66</v>
      </c>
      <c r="D9" s="77">
        <v>2023</v>
      </c>
      <c r="E9" s="68" t="s">
        <v>100</v>
      </c>
      <c r="F9" s="77">
        <v>8809020344901</v>
      </c>
      <c r="G9" s="68" t="s">
        <v>58</v>
      </c>
      <c r="H9" s="69">
        <v>12784</v>
      </c>
      <c r="I9" s="69">
        <v>12</v>
      </c>
      <c r="J9" s="69">
        <v>12</v>
      </c>
      <c r="K9" s="69">
        <v>144</v>
      </c>
      <c r="L9" s="69">
        <v>1840896</v>
      </c>
      <c r="M9" s="77">
        <v>1278300958</v>
      </c>
      <c r="N9" s="68" t="s">
        <v>87</v>
      </c>
      <c r="O9" s="77">
        <v>20260327</v>
      </c>
      <c r="P9" s="77">
        <v>9150</v>
      </c>
      <c r="Q9" s="68" t="s">
        <v>107</v>
      </c>
      <c r="R9" s="77">
        <v>20260327</v>
      </c>
      <c r="S9" s="68" t="s">
        <v>90</v>
      </c>
      <c r="T9" s="77">
        <v>2023</v>
      </c>
      <c r="U9" s="68" t="s">
        <v>100</v>
      </c>
      <c r="V9" s="68"/>
      <c r="W9" s="68"/>
      <c r="X9" s="68"/>
      <c r="Y9" s="68"/>
      <c r="Z9" s="68"/>
      <c r="AA9" s="68" t="s">
        <v>82</v>
      </c>
    </row>
    <row r="10" spans="1:27" ht="52.2">
      <c r="A10" s="76">
        <v>20260326</v>
      </c>
      <c r="B10" s="77">
        <v>1368001</v>
      </c>
      <c r="C10" s="68" t="s">
        <v>66</v>
      </c>
      <c r="D10" s="77">
        <v>2009</v>
      </c>
      <c r="E10" s="68" t="s">
        <v>102</v>
      </c>
      <c r="F10" s="77">
        <v>8809020344901</v>
      </c>
      <c r="G10" s="68" t="s">
        <v>58</v>
      </c>
      <c r="H10" s="69">
        <v>12784</v>
      </c>
      <c r="I10" s="69">
        <v>12</v>
      </c>
      <c r="J10" s="69">
        <v>12</v>
      </c>
      <c r="K10" s="69">
        <v>144</v>
      </c>
      <c r="L10" s="69">
        <v>1840896</v>
      </c>
      <c r="M10" s="77">
        <v>1278301232</v>
      </c>
      <c r="N10" s="68" t="s">
        <v>87</v>
      </c>
      <c r="O10" s="77">
        <v>20260327</v>
      </c>
      <c r="P10" s="77">
        <v>9150</v>
      </c>
      <c r="Q10" s="68" t="s">
        <v>107</v>
      </c>
      <c r="R10" s="77">
        <v>20260327</v>
      </c>
      <c r="S10" s="68" t="s">
        <v>90</v>
      </c>
      <c r="T10" s="77">
        <v>2009</v>
      </c>
      <c r="U10" s="68" t="s">
        <v>102</v>
      </c>
      <c r="V10" s="68"/>
      <c r="W10" s="68"/>
      <c r="X10" s="68"/>
      <c r="Y10" s="68"/>
      <c r="Z10" s="68"/>
      <c r="AA10" s="68" t="s">
        <v>82</v>
      </c>
    </row>
    <row r="11" spans="1:27" ht="52.2">
      <c r="A11" s="76">
        <v>20260326</v>
      </c>
      <c r="B11" s="77">
        <v>1368001</v>
      </c>
      <c r="C11" s="68" t="s">
        <v>66</v>
      </c>
      <c r="D11" s="77">
        <v>2022</v>
      </c>
      <c r="E11" s="68" t="s">
        <v>106</v>
      </c>
      <c r="F11" s="77">
        <v>8809020344901</v>
      </c>
      <c r="G11" s="68" t="s">
        <v>58</v>
      </c>
      <c r="H11" s="69">
        <v>12784</v>
      </c>
      <c r="I11" s="69">
        <v>12</v>
      </c>
      <c r="J11" s="69">
        <v>12</v>
      </c>
      <c r="K11" s="69">
        <v>144</v>
      </c>
      <c r="L11" s="69">
        <v>1840896</v>
      </c>
      <c r="M11" s="77">
        <v>1278301233</v>
      </c>
      <c r="N11" s="68" t="s">
        <v>87</v>
      </c>
      <c r="O11" s="77">
        <v>20260327</v>
      </c>
      <c r="P11" s="77">
        <v>9150</v>
      </c>
      <c r="Q11" s="68" t="s">
        <v>107</v>
      </c>
      <c r="R11" s="77">
        <v>20260327</v>
      </c>
      <c r="S11" s="68" t="s">
        <v>90</v>
      </c>
      <c r="T11" s="77">
        <v>2022</v>
      </c>
      <c r="U11" s="68" t="s">
        <v>106</v>
      </c>
      <c r="V11" s="68"/>
      <c r="W11" s="68"/>
      <c r="X11" s="68"/>
      <c r="Y11" s="68"/>
      <c r="Z11" s="68"/>
      <c r="AA11" s="68" t="s">
        <v>82</v>
      </c>
    </row>
    <row r="12" spans="1:27" ht="52.2">
      <c r="A12" s="76">
        <v>20260326</v>
      </c>
      <c r="B12" s="77">
        <v>1368001</v>
      </c>
      <c r="C12" s="68" t="s">
        <v>66</v>
      </c>
      <c r="D12" s="77">
        <v>2020</v>
      </c>
      <c r="E12" s="68" t="s">
        <v>99</v>
      </c>
      <c r="F12" s="77">
        <v>8809020344901</v>
      </c>
      <c r="G12" s="68" t="s">
        <v>58</v>
      </c>
      <c r="H12" s="69">
        <v>12784</v>
      </c>
      <c r="I12" s="69">
        <v>12</v>
      </c>
      <c r="J12" s="69">
        <v>12</v>
      </c>
      <c r="K12" s="69">
        <v>144</v>
      </c>
      <c r="L12" s="69">
        <v>1840896</v>
      </c>
      <c r="M12" s="77">
        <v>1278301234</v>
      </c>
      <c r="N12" s="68" t="s">
        <v>87</v>
      </c>
      <c r="O12" s="77">
        <v>20260327</v>
      </c>
      <c r="P12" s="77">
        <v>9102</v>
      </c>
      <c r="Q12" s="68" t="s">
        <v>108</v>
      </c>
      <c r="R12" s="77">
        <v>20260327</v>
      </c>
      <c r="S12" s="68" t="s">
        <v>90</v>
      </c>
      <c r="T12" s="77">
        <v>2020</v>
      </c>
      <c r="U12" s="68" t="s">
        <v>99</v>
      </c>
      <c r="V12" s="68"/>
      <c r="W12" s="68"/>
      <c r="X12" s="68"/>
      <c r="Y12" s="68"/>
      <c r="Z12" s="68"/>
      <c r="AA12" s="68" t="s">
        <v>82</v>
      </c>
    </row>
    <row r="13" spans="1:27" ht="52.2">
      <c r="A13" s="76">
        <v>20260326</v>
      </c>
      <c r="B13" s="77">
        <v>1368001</v>
      </c>
      <c r="C13" s="68" t="s">
        <v>66</v>
      </c>
      <c r="D13" s="77">
        <v>2003</v>
      </c>
      <c r="E13" s="68" t="s">
        <v>103</v>
      </c>
      <c r="F13" s="77">
        <v>8809020344895</v>
      </c>
      <c r="G13" s="68" t="s">
        <v>56</v>
      </c>
      <c r="H13" s="69">
        <v>11655</v>
      </c>
      <c r="I13" s="69">
        <v>12</v>
      </c>
      <c r="J13" s="69">
        <v>12</v>
      </c>
      <c r="K13" s="69">
        <v>144</v>
      </c>
      <c r="L13" s="69">
        <v>1678320</v>
      </c>
      <c r="M13" s="77">
        <v>1278301235</v>
      </c>
      <c r="N13" s="68" t="s">
        <v>87</v>
      </c>
      <c r="O13" s="77">
        <v>20260327</v>
      </c>
      <c r="P13" s="77">
        <v>9150</v>
      </c>
      <c r="Q13" s="68" t="s">
        <v>107</v>
      </c>
      <c r="R13" s="77">
        <v>20260327</v>
      </c>
      <c r="S13" s="68" t="s">
        <v>90</v>
      </c>
      <c r="T13" s="77">
        <v>2003</v>
      </c>
      <c r="U13" s="68" t="s">
        <v>103</v>
      </c>
      <c r="V13" s="68"/>
      <c r="W13" s="68"/>
      <c r="X13" s="68"/>
      <c r="Y13" s="68"/>
      <c r="Z13" s="68"/>
      <c r="AA13" s="68" t="s">
        <v>82</v>
      </c>
    </row>
    <row r="14" spans="1:27" ht="52.2">
      <c r="A14" s="76">
        <v>20260326</v>
      </c>
      <c r="B14" s="77">
        <v>1368001</v>
      </c>
      <c r="C14" s="68" t="s">
        <v>66</v>
      </c>
      <c r="D14" s="77">
        <v>2003</v>
      </c>
      <c r="E14" s="68" t="s">
        <v>103</v>
      </c>
      <c r="F14" s="77">
        <v>8809020344901</v>
      </c>
      <c r="G14" s="68" t="s">
        <v>58</v>
      </c>
      <c r="H14" s="69">
        <v>12784</v>
      </c>
      <c r="I14" s="69">
        <v>12</v>
      </c>
      <c r="J14" s="69">
        <v>12</v>
      </c>
      <c r="K14" s="69">
        <v>144</v>
      </c>
      <c r="L14" s="69">
        <v>1840896</v>
      </c>
      <c r="M14" s="77">
        <v>1278301235</v>
      </c>
      <c r="N14" s="68" t="s">
        <v>87</v>
      </c>
      <c r="O14" s="77">
        <v>20260327</v>
      </c>
      <c r="P14" s="77">
        <v>9150</v>
      </c>
      <c r="Q14" s="68" t="s">
        <v>107</v>
      </c>
      <c r="R14" s="77">
        <v>20260327</v>
      </c>
      <c r="S14" s="68" t="s">
        <v>90</v>
      </c>
      <c r="T14" s="77">
        <v>2003</v>
      </c>
      <c r="U14" s="68" t="s">
        <v>103</v>
      </c>
      <c r="V14" s="68"/>
      <c r="W14" s="68"/>
      <c r="X14" s="68"/>
      <c r="Y14" s="68"/>
      <c r="Z14" s="68"/>
      <c r="AA14" s="68" t="s">
        <v>82</v>
      </c>
    </row>
    <row r="15" spans="1:27" ht="17.399999999999999">
      <c r="A15" s="75"/>
      <c r="B15" s="68"/>
      <c r="C15" s="68"/>
      <c r="D15" s="68"/>
      <c r="E15" s="68"/>
      <c r="F15" s="68"/>
      <c r="G15" s="68"/>
      <c r="H15" s="69"/>
      <c r="I15" s="69"/>
      <c r="J15" s="69"/>
      <c r="K15" s="69"/>
      <c r="L15" s="69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</row>
    <row r="16" spans="1:27" ht="17.399999999999999">
      <c r="A16" s="75"/>
      <c r="B16" s="68"/>
      <c r="C16" s="68"/>
      <c r="D16" s="68"/>
      <c r="E16" s="68"/>
      <c r="F16" s="68"/>
      <c r="G16" s="68"/>
      <c r="H16" s="69"/>
      <c r="I16" s="69"/>
      <c r="J16" s="69"/>
      <c r="K16" s="69"/>
      <c r="L16" s="69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</row>
    <row r="17" spans="1:27" ht="17.399999999999999">
      <c r="A17" s="75"/>
      <c r="B17" s="68"/>
      <c r="C17" s="68"/>
      <c r="D17" s="68"/>
      <c r="E17" s="68"/>
      <c r="F17" s="68"/>
      <c r="G17" s="68"/>
      <c r="H17" s="69"/>
      <c r="I17" s="69"/>
      <c r="J17" s="69"/>
      <c r="K17" s="69"/>
      <c r="L17" s="69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</row>
    <row r="18" spans="1:27" ht="17.399999999999999">
      <c r="A18" s="75"/>
      <c r="B18" s="68"/>
      <c r="C18" s="68"/>
      <c r="D18" s="68"/>
      <c r="E18" s="68"/>
      <c r="F18" s="68"/>
      <c r="G18" s="68"/>
      <c r="H18" s="69"/>
      <c r="I18" s="69"/>
      <c r="J18" s="69"/>
      <c r="K18" s="69"/>
      <c r="L18" s="69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</row>
    <row r="19" spans="1:27" ht="17.399999999999999">
      <c r="A19" s="75"/>
      <c r="B19" s="68"/>
      <c r="C19" s="68"/>
      <c r="D19" s="68"/>
      <c r="E19" s="68"/>
      <c r="F19" s="68"/>
      <c r="G19" s="68"/>
      <c r="H19" s="69"/>
      <c r="I19" s="69"/>
      <c r="J19" s="69"/>
      <c r="K19" s="69"/>
      <c r="L19" s="69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</row>
    <row r="20" spans="1:27" ht="17.399999999999999">
      <c r="A20" s="75"/>
      <c r="B20" s="68"/>
      <c r="C20" s="68"/>
      <c r="D20" s="68"/>
      <c r="E20" s="68"/>
      <c r="F20" s="68"/>
      <c r="G20" s="68"/>
      <c r="H20" s="69"/>
      <c r="I20" s="69"/>
      <c r="J20" s="69"/>
      <c r="K20" s="69"/>
      <c r="L20" s="69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</row>
    <row r="21" spans="1:27" ht="17.399999999999999">
      <c r="A21" s="75"/>
      <c r="B21" s="68"/>
      <c r="C21" s="68"/>
      <c r="D21" s="68"/>
      <c r="E21" s="68"/>
      <c r="F21" s="68"/>
      <c r="G21" s="68"/>
      <c r="H21" s="69"/>
      <c r="I21" s="69"/>
      <c r="J21" s="69"/>
      <c r="K21" s="69"/>
      <c r="L21" s="69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 spans="1:27" ht="17.399999999999999">
      <c r="A22" s="75"/>
      <c r="B22" s="68"/>
      <c r="C22" s="68"/>
      <c r="D22" s="68"/>
      <c r="E22" s="68"/>
      <c r="F22" s="68"/>
      <c r="G22" s="68"/>
      <c r="H22" s="69"/>
      <c r="I22" s="69"/>
      <c r="J22" s="69"/>
      <c r="K22" s="69"/>
      <c r="L22" s="69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spans="1:27" ht="17.399999999999999">
      <c r="A23" s="75"/>
      <c r="B23" s="68"/>
      <c r="C23" s="68"/>
      <c r="D23" s="68"/>
      <c r="E23" s="68"/>
      <c r="F23" s="68"/>
      <c r="G23" s="68"/>
      <c r="H23" s="69"/>
      <c r="I23" s="69"/>
      <c r="J23" s="69"/>
      <c r="K23" s="69"/>
      <c r="L23" s="69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 spans="1:27" ht="17.399999999999999">
      <c r="A24" s="75"/>
      <c r="B24" s="68"/>
      <c r="C24" s="68"/>
      <c r="D24" s="68"/>
      <c r="E24" s="68"/>
      <c r="F24" s="68"/>
      <c r="G24" s="68"/>
      <c r="H24" s="69"/>
      <c r="I24" s="69"/>
      <c r="J24" s="69"/>
      <c r="K24" s="69"/>
      <c r="L24" s="69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</row>
    <row r="25" spans="1:27" ht="17.399999999999999">
      <c r="A25" s="75"/>
      <c r="B25" s="68"/>
      <c r="C25" s="68"/>
      <c r="D25" s="68"/>
      <c r="E25" s="68"/>
      <c r="F25" s="68"/>
      <c r="G25" s="68"/>
      <c r="H25" s="69"/>
      <c r="I25" s="69"/>
      <c r="J25" s="69"/>
      <c r="K25" s="69"/>
      <c r="L25" s="69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</row>
    <row r="26" spans="1:27" ht="17.399999999999999">
      <c r="A26" s="75"/>
      <c r="B26" s="68"/>
      <c r="C26" s="68"/>
      <c r="D26" s="68"/>
      <c r="E26" s="68"/>
      <c r="F26" s="68"/>
      <c r="G26" s="68"/>
      <c r="H26" s="69"/>
      <c r="I26" s="69"/>
      <c r="J26" s="69"/>
      <c r="K26" s="69"/>
      <c r="L26" s="69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</row>
    <row r="27" spans="1:27" ht="17.399999999999999">
      <c r="A27" s="75"/>
      <c r="B27" s="68"/>
      <c r="C27" s="68"/>
      <c r="D27" s="68"/>
      <c r="E27" s="68"/>
      <c r="F27" s="68"/>
      <c r="G27" s="68"/>
      <c r="H27" s="69"/>
      <c r="I27" s="69"/>
      <c r="J27" s="69"/>
      <c r="K27" s="69"/>
      <c r="L27" s="69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</row>
    <row r="28" spans="1:27" ht="17.399999999999999">
      <c r="A28" s="75"/>
      <c r="B28" s="68"/>
      <c r="C28" s="68"/>
      <c r="D28" s="68"/>
      <c r="E28" s="68"/>
      <c r="F28" s="68"/>
      <c r="G28" s="68"/>
      <c r="H28" s="69"/>
      <c r="I28" s="69"/>
      <c r="J28" s="69"/>
      <c r="K28" s="69"/>
      <c r="L28" s="69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</row>
    <row r="29" spans="1:27" ht="17.399999999999999">
      <c r="A29" s="75"/>
      <c r="B29" s="68"/>
      <c r="C29" s="68"/>
      <c r="D29" s="68"/>
      <c r="E29" s="68"/>
      <c r="F29" s="68"/>
      <c r="G29" s="68"/>
      <c r="H29" s="69"/>
      <c r="I29" s="69"/>
      <c r="J29" s="69"/>
      <c r="K29" s="69"/>
      <c r="L29" s="69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spans="1:27" ht="17.399999999999999">
      <c r="A30" s="75"/>
      <c r="B30" s="68"/>
      <c r="C30" s="68"/>
      <c r="D30" s="68"/>
      <c r="E30" s="68"/>
      <c r="F30" s="68"/>
      <c r="G30" s="68"/>
      <c r="H30" s="69"/>
      <c r="I30" s="69"/>
      <c r="J30" s="69"/>
      <c r="K30" s="69"/>
      <c r="L30" s="69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</row>
    <row r="31" spans="1:27" ht="17.399999999999999">
      <c r="A31" s="75"/>
      <c r="B31" s="68"/>
      <c r="C31" s="68"/>
      <c r="D31" s="68"/>
      <c r="E31" s="68"/>
      <c r="F31" s="68"/>
      <c r="G31" s="68"/>
      <c r="H31" s="69"/>
      <c r="I31" s="69"/>
      <c r="J31" s="69"/>
      <c r="K31" s="69"/>
      <c r="L31" s="69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spans="1:27" ht="17.399999999999999">
      <c r="A32" s="75"/>
      <c r="B32" s="68"/>
      <c r="C32" s="68"/>
      <c r="D32" s="68"/>
      <c r="E32" s="68"/>
      <c r="F32" s="68"/>
      <c r="G32" s="68"/>
      <c r="H32" s="69"/>
      <c r="I32" s="69"/>
      <c r="J32" s="69"/>
      <c r="K32" s="69"/>
      <c r="L32" s="69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</row>
    <row r="33" spans="1:27" ht="17.399999999999999">
      <c r="A33" s="75"/>
      <c r="B33" s="68"/>
      <c r="C33" s="68"/>
      <c r="D33" s="68"/>
      <c r="E33" s="68"/>
      <c r="F33" s="68"/>
      <c r="G33" s="68"/>
      <c r="H33" s="69"/>
      <c r="I33" s="69"/>
      <c r="J33" s="69"/>
      <c r="K33" s="69"/>
      <c r="L33" s="69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</row>
    <row r="34" spans="1:27" ht="17.399999999999999">
      <c r="A34" s="75"/>
      <c r="B34" s="68"/>
      <c r="C34" s="68"/>
      <c r="D34" s="68"/>
      <c r="E34" s="68"/>
      <c r="F34" s="68"/>
      <c r="G34" s="68"/>
      <c r="H34" s="69"/>
      <c r="I34" s="69"/>
      <c r="J34" s="69"/>
      <c r="K34" s="69"/>
      <c r="L34" s="69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</row>
    <row r="35" spans="1:27" ht="17.399999999999999">
      <c r="A35" s="75"/>
      <c r="B35" s="68"/>
      <c r="C35" s="68"/>
      <c r="D35" s="68"/>
      <c r="E35" s="68"/>
      <c r="F35" s="68"/>
      <c r="G35" s="68"/>
      <c r="H35" s="69"/>
      <c r="I35" s="69"/>
      <c r="J35" s="69"/>
      <c r="K35" s="69"/>
      <c r="L35" s="69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</row>
    <row r="36" spans="1:27" ht="17.399999999999999">
      <c r="A36" s="75"/>
      <c r="B36" s="68"/>
      <c r="C36" s="68"/>
      <c r="D36" s="68"/>
      <c r="E36" s="68"/>
      <c r="F36" s="68"/>
      <c r="G36" s="68"/>
      <c r="H36" s="69"/>
      <c r="I36" s="69"/>
      <c r="J36" s="69"/>
      <c r="K36" s="69"/>
      <c r="L36" s="69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</row>
    <row r="37" spans="1:27" ht="17.399999999999999">
      <c r="A37" s="75"/>
      <c r="B37" s="68"/>
      <c r="C37" s="68"/>
      <c r="D37" s="68"/>
      <c r="E37" s="68"/>
      <c r="F37" s="68"/>
      <c r="G37" s="68"/>
      <c r="H37" s="69"/>
      <c r="I37" s="69"/>
      <c r="J37" s="69"/>
      <c r="K37" s="69"/>
      <c r="L37" s="69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</row>
    <row r="38" spans="1:27" ht="17.399999999999999">
      <c r="A38" s="75"/>
      <c r="B38" s="68"/>
      <c r="C38" s="68"/>
      <c r="D38" s="68"/>
      <c r="E38" s="68"/>
      <c r="F38" s="68"/>
      <c r="G38" s="68"/>
      <c r="H38" s="69"/>
      <c r="I38" s="69"/>
      <c r="J38" s="69"/>
      <c r="K38" s="69"/>
      <c r="L38" s="69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</row>
    <row r="39" spans="1:27" ht="17.399999999999999">
      <c r="A39" s="75"/>
      <c r="B39" s="68"/>
      <c r="C39" s="68"/>
      <c r="D39" s="68"/>
      <c r="E39" s="68"/>
      <c r="F39" s="68"/>
      <c r="G39" s="68"/>
      <c r="H39" s="69"/>
      <c r="I39" s="69"/>
      <c r="J39" s="69"/>
      <c r="K39" s="69"/>
      <c r="L39" s="69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</row>
    <row r="40" spans="1:27" ht="17.399999999999999">
      <c r="A40" s="75"/>
      <c r="B40" s="68"/>
      <c r="C40" s="68"/>
      <c r="D40" s="68"/>
      <c r="E40" s="68"/>
      <c r="F40" s="68"/>
      <c r="G40" s="68"/>
      <c r="H40" s="69"/>
      <c r="I40" s="69"/>
      <c r="J40" s="69"/>
      <c r="K40" s="69"/>
      <c r="L40" s="69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</row>
    <row r="41" spans="1:27" ht="17.399999999999999">
      <c r="A41" s="75"/>
      <c r="B41" s="68"/>
      <c r="C41" s="68"/>
      <c r="D41" s="68"/>
      <c r="E41" s="68"/>
      <c r="F41" s="68"/>
      <c r="G41" s="68"/>
      <c r="H41" s="69"/>
      <c r="I41" s="69"/>
      <c r="J41" s="69"/>
      <c r="K41" s="69"/>
      <c r="L41" s="69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</row>
    <row r="42" spans="1:27" ht="17.399999999999999">
      <c r="A42" s="75"/>
      <c r="B42" s="68"/>
      <c r="C42" s="68"/>
      <c r="D42" s="68"/>
      <c r="E42" s="68"/>
      <c r="F42" s="68"/>
      <c r="G42" s="68"/>
      <c r="H42" s="69"/>
      <c r="I42" s="69"/>
      <c r="J42" s="69"/>
      <c r="K42" s="69"/>
      <c r="L42" s="69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</row>
  </sheetData>
  <autoFilter ref="A1:U24" xr:uid="{00000000-0001-0000-0000-000000000000}"/>
  <phoneticPr fontId="8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N269"/>
  <sheetViews>
    <sheetView tabSelected="1" zoomScaleNormal="100" workbookViewId="0">
      <pane ySplit="1" topLeftCell="A2" activePane="bottomLeft" state="frozen"/>
      <selection pane="bottomLeft" activeCell="G12" sqref="G12"/>
    </sheetView>
  </sheetViews>
  <sheetFormatPr defaultColWidth="8.8984375" defaultRowHeight="12" customHeight="1"/>
  <cols>
    <col min="1" max="1" width="12.796875" style="6" customWidth="1"/>
    <col min="2" max="4" width="8.8984375" style="6"/>
    <col min="5" max="5" width="9.69921875" style="17" customWidth="1"/>
    <col min="6" max="6" width="13.5" style="6" customWidth="1"/>
    <col min="7" max="7" width="27.19921875" style="47" bestFit="1" customWidth="1"/>
    <col min="8" max="8" width="9" style="6" customWidth="1"/>
    <col min="9" max="9" width="8.8984375" style="6"/>
    <col min="10" max="10" width="9" style="2" customWidth="1"/>
    <col min="11" max="11" width="8.8984375" style="2"/>
    <col min="12" max="12" width="13.8984375" style="2" bestFit="1" customWidth="1"/>
    <col min="13" max="13" width="8.8984375" style="54"/>
    <col min="14" max="16384" width="8.8984375" style="2"/>
  </cols>
  <sheetData>
    <row r="1" spans="1:13" ht="12" customHeight="1">
      <c r="A1" s="38" t="s">
        <v>42</v>
      </c>
      <c r="B1" s="10" t="s">
        <v>19</v>
      </c>
      <c r="C1" s="11"/>
      <c r="D1" s="10" t="s">
        <v>20</v>
      </c>
      <c r="E1" s="17" t="s">
        <v>43</v>
      </c>
      <c r="F1" s="10" t="s">
        <v>2</v>
      </c>
      <c r="G1" s="47" t="s">
        <v>44</v>
      </c>
      <c r="H1" s="12" t="s">
        <v>34</v>
      </c>
      <c r="I1" s="5" t="s">
        <v>21</v>
      </c>
      <c r="J1" s="5" t="s">
        <v>22</v>
      </c>
      <c r="K1" s="3" t="s">
        <v>31</v>
      </c>
      <c r="L1" s="2" t="s">
        <v>88</v>
      </c>
    </row>
    <row r="2" spans="1:13" ht="12" customHeight="1">
      <c r="A2" s="6">
        <f>'Raw data'!O2</f>
        <v>20260327</v>
      </c>
      <c r="B2" s="6">
        <v>81011010</v>
      </c>
      <c r="C2" s="7"/>
      <c r="D2" s="7">
        <f>VLOOKUP('Raw data'!P2,'점포코드 '!A:B,2,0)</f>
        <v>81033036</v>
      </c>
      <c r="E2" s="18" t="str">
        <f>VLOOKUP(D2,'점포코드 '!B:C,2,0)</f>
        <v>평택</v>
      </c>
      <c r="F2" s="19" t="str">
        <f>VLOOKUP('Raw data'!F2,제품명!C:D,2,0)</f>
        <v>ME90621L3L</v>
      </c>
      <c r="G2" s="47" t="str">
        <f>VLOOKUP(F2,제품명!D:E,2,0)</f>
        <v>하다라보 고쿠쥰 로션 170ml*2입</v>
      </c>
      <c r="H2" s="6">
        <f>'Raw data'!K2</f>
        <v>144</v>
      </c>
      <c r="I2" s="13">
        <f>'Raw data'!H2</f>
        <v>11655</v>
      </c>
      <c r="J2" s="4">
        <f t="shared" ref="J2:J65" si="0">H2*I2</f>
        <v>1678320</v>
      </c>
      <c r="L2" s="74" t="str">
        <f>'Raw data'!U2</f>
        <v>TR스타필드부천점</v>
      </c>
      <c r="M2" s="73" t="s">
        <v>86</v>
      </c>
    </row>
    <row r="3" spans="1:13" ht="12" customHeight="1">
      <c r="A3" s="6">
        <f>'Raw data'!O3</f>
        <v>20260327</v>
      </c>
      <c r="B3" s="6">
        <v>81011010</v>
      </c>
      <c r="C3" s="7"/>
      <c r="D3" s="7">
        <f>VLOOKUP('Raw data'!P3,'점포코드 '!A:B,2,0)</f>
        <v>81033036</v>
      </c>
      <c r="E3" s="18" t="str">
        <f>VLOOKUP(D3,'점포코드 '!B:C,2,0)</f>
        <v>평택</v>
      </c>
      <c r="F3" s="19" t="str">
        <f>VLOOKUP('Raw data'!F3,제품명!C:D,2,0)</f>
        <v>ME90621M3M</v>
      </c>
      <c r="G3" s="47" t="str">
        <f>VLOOKUP(F3,제품명!D:E,2,0)</f>
        <v>하다라보 고쿠쥰 밀크 140ml*2입</v>
      </c>
      <c r="H3" s="6">
        <f>'Raw data'!K3</f>
        <v>144</v>
      </c>
      <c r="I3" s="13">
        <f>'Raw data'!H3</f>
        <v>12784</v>
      </c>
      <c r="J3" s="4">
        <f t="shared" si="0"/>
        <v>1840896</v>
      </c>
      <c r="L3" s="74" t="str">
        <f>'Raw data'!U3</f>
        <v>TR스타필드부천점</v>
      </c>
      <c r="M3" s="73" t="s">
        <v>86</v>
      </c>
    </row>
    <row r="4" spans="1:13" s="54" customFormat="1" ht="12" customHeight="1">
      <c r="A4" s="56">
        <f>'Raw data'!O4</f>
        <v>20260327</v>
      </c>
      <c r="B4" s="56">
        <v>81011010</v>
      </c>
      <c r="C4" s="57"/>
      <c r="D4" s="57">
        <f>VLOOKUP('Raw data'!P4,'점포코드 '!A:B,2,0)</f>
        <v>81033036</v>
      </c>
      <c r="E4" s="58" t="str">
        <f>VLOOKUP(D4,'점포코드 '!B:C,2,0)</f>
        <v>평택</v>
      </c>
      <c r="F4" s="59" t="str">
        <f>VLOOKUP('Raw data'!F4,제품명!C:D,2,0)</f>
        <v>ME90621L3L</v>
      </c>
      <c r="G4" s="58" t="str">
        <f>VLOOKUP(F4,제품명!D:E,2,0)</f>
        <v>하다라보 고쿠쥰 로션 170ml*2입</v>
      </c>
      <c r="H4" s="56">
        <f>'Raw data'!K4</f>
        <v>144</v>
      </c>
      <c r="I4" s="60">
        <f>'Raw data'!H4</f>
        <v>11655</v>
      </c>
      <c r="J4" s="61">
        <f t="shared" si="0"/>
        <v>1678320</v>
      </c>
      <c r="K4" s="2"/>
      <c r="L4" s="74" t="str">
        <f>'Raw data'!U4</f>
        <v>TR일산점</v>
      </c>
      <c r="M4" s="73" t="s">
        <v>86</v>
      </c>
    </row>
    <row r="5" spans="1:13" s="62" customFormat="1" ht="12" customHeight="1">
      <c r="A5" s="48">
        <f>'Raw data'!O5</f>
        <v>20260327</v>
      </c>
      <c r="B5" s="48">
        <v>81011010</v>
      </c>
      <c r="C5" s="49"/>
      <c r="D5" s="49">
        <f>VLOOKUP('Raw data'!P5,'점포코드 '!A:B,2,0)</f>
        <v>89011174</v>
      </c>
      <c r="E5" s="70" t="str">
        <f>VLOOKUP(D5,'점포코드 '!B:C,2,0)</f>
        <v>대구</v>
      </c>
      <c r="F5" s="51" t="str">
        <f>VLOOKUP('Raw data'!F5,제품명!C:D,2,0)</f>
        <v>ME90621L3L</v>
      </c>
      <c r="G5" s="70" t="str">
        <f>VLOOKUP(F5,제품명!D:E,2,0)</f>
        <v>하다라보 고쿠쥰 로션 170ml*2입</v>
      </c>
      <c r="H5" s="48">
        <f>'Raw data'!K5</f>
        <v>144</v>
      </c>
      <c r="I5" s="71">
        <f>'Raw data'!H5</f>
        <v>11655</v>
      </c>
      <c r="J5" s="53">
        <f t="shared" si="0"/>
        <v>1678320</v>
      </c>
      <c r="L5" s="74" t="str">
        <f>'Raw data'!U5</f>
        <v>TR양산점</v>
      </c>
      <c r="M5" s="73" t="s">
        <v>86</v>
      </c>
    </row>
    <row r="6" spans="1:13" s="62" customFormat="1" ht="12" customHeight="1">
      <c r="A6" s="48">
        <f>'Raw data'!O6</f>
        <v>20260327</v>
      </c>
      <c r="B6" s="48">
        <v>81011010</v>
      </c>
      <c r="C6" s="49"/>
      <c r="D6" s="49">
        <f>VLOOKUP('Raw data'!P6,'점포코드 '!A:B,2,0)</f>
        <v>89011174</v>
      </c>
      <c r="E6" s="70" t="str">
        <f>VLOOKUP(D6,'점포코드 '!B:C,2,0)</f>
        <v>대구</v>
      </c>
      <c r="F6" s="51" t="str">
        <f>VLOOKUP('Raw data'!F6,제품명!C:D,2,0)</f>
        <v>ME90621M3M</v>
      </c>
      <c r="G6" s="48" t="str">
        <f>VLOOKUP(F6,제품명!D:E,2,0)</f>
        <v>하다라보 고쿠쥰 밀크 140ml*2입</v>
      </c>
      <c r="H6" s="48">
        <f>'Raw data'!K6</f>
        <v>144</v>
      </c>
      <c r="I6" s="71">
        <f>'Raw data'!H6</f>
        <v>12784</v>
      </c>
      <c r="J6" s="53">
        <f t="shared" si="0"/>
        <v>1840896</v>
      </c>
      <c r="L6" s="74" t="str">
        <f>'Raw data'!U6</f>
        <v>TR양산점</v>
      </c>
      <c r="M6" s="73" t="s">
        <v>86</v>
      </c>
    </row>
    <row r="7" spans="1:13" ht="12" customHeight="1">
      <c r="A7" s="6">
        <f>'Raw data'!O7</f>
        <v>20260327</v>
      </c>
      <c r="B7" s="6">
        <v>81011010</v>
      </c>
      <c r="C7" s="7"/>
      <c r="D7" s="7">
        <f>VLOOKUP('Raw data'!P7,'점포코드 '!A:B,2,0)</f>
        <v>89011174</v>
      </c>
      <c r="E7" s="18" t="str">
        <f>VLOOKUP(D7,'점포코드 '!B:C,2,0)</f>
        <v>대구</v>
      </c>
      <c r="F7" s="19" t="str">
        <f>VLOOKUP('Raw data'!F7,제품명!C:D,2,0)</f>
        <v>ME90621M3M</v>
      </c>
      <c r="G7" s="39" t="str">
        <f>VLOOKUP(F7,제품명!D:E,2,0)</f>
        <v>하다라보 고쿠쥰 밀크 140ml*2입</v>
      </c>
      <c r="H7" s="6">
        <f>'Raw data'!K7</f>
        <v>144</v>
      </c>
      <c r="I7" s="13">
        <f>'Raw data'!H7</f>
        <v>12784</v>
      </c>
      <c r="J7" s="4">
        <f t="shared" si="0"/>
        <v>1840896</v>
      </c>
      <c r="L7" s="74" t="str">
        <f>'Raw data'!U7</f>
        <v>TR비산점</v>
      </c>
      <c r="M7" s="73" t="s">
        <v>86</v>
      </c>
    </row>
    <row r="8" spans="1:13" ht="12" customHeight="1">
      <c r="A8" s="6">
        <f>'Raw data'!O8</f>
        <v>20260327</v>
      </c>
      <c r="B8" s="6">
        <v>81011010</v>
      </c>
      <c r="C8" s="7"/>
      <c r="D8" s="7">
        <f>VLOOKUP('Raw data'!P8,'점포코드 '!A:B,2,0)</f>
        <v>81033036</v>
      </c>
      <c r="E8" s="18" t="str">
        <f>VLOOKUP(D8,'점포코드 '!B:C,2,0)</f>
        <v>평택</v>
      </c>
      <c r="F8" s="19" t="str">
        <f>VLOOKUP('Raw data'!F8,제품명!C:D,2,0)</f>
        <v>ME90621M3M</v>
      </c>
      <c r="G8" s="39" t="str">
        <f>VLOOKUP(F8,제품명!D:E,2,0)</f>
        <v>하다라보 고쿠쥰 밀크 140ml*2입</v>
      </c>
      <c r="H8" s="6">
        <f>'Raw data'!K8</f>
        <v>144</v>
      </c>
      <c r="I8" s="13">
        <f>'Raw data'!H8</f>
        <v>12784</v>
      </c>
      <c r="J8" s="4">
        <f t="shared" si="0"/>
        <v>1840896</v>
      </c>
      <c r="L8" s="74" t="str">
        <f>'Raw data'!U8</f>
        <v>TR스타필드하남점</v>
      </c>
      <c r="M8" s="73" t="s">
        <v>86</v>
      </c>
    </row>
    <row r="9" spans="1:13" s="54" customFormat="1" ht="12" customHeight="1">
      <c r="A9" s="48">
        <f>'Raw data'!O9</f>
        <v>20260327</v>
      </c>
      <c r="B9" s="48">
        <v>81011010</v>
      </c>
      <c r="C9" s="49"/>
      <c r="D9" s="49">
        <f>VLOOKUP('Raw data'!P9,'점포코드 '!A:B,2,0)</f>
        <v>81033036</v>
      </c>
      <c r="E9" s="50" t="str">
        <f>VLOOKUP(D9,'점포코드 '!B:C,2,0)</f>
        <v>평택</v>
      </c>
      <c r="F9" s="51" t="str">
        <f>VLOOKUP('Raw data'!F9,제품명!C:D,2,0)</f>
        <v>ME90621M3M</v>
      </c>
      <c r="G9" s="55" t="str">
        <f>VLOOKUP(F9,제품명!D:E,2,0)</f>
        <v>하다라보 고쿠쥰 밀크 140ml*2입</v>
      </c>
      <c r="H9" s="48">
        <f>'Raw data'!K9</f>
        <v>144</v>
      </c>
      <c r="I9" s="52">
        <f>'Raw data'!H9</f>
        <v>12784</v>
      </c>
      <c r="J9" s="53">
        <f t="shared" si="0"/>
        <v>1840896</v>
      </c>
      <c r="L9" s="74" t="str">
        <f>'Raw data'!U9</f>
        <v>TR마곡점</v>
      </c>
      <c r="M9" s="73" t="s">
        <v>86</v>
      </c>
    </row>
    <row r="10" spans="1:13" ht="12" customHeight="1">
      <c r="A10" s="6">
        <f>'Raw data'!O10</f>
        <v>20260327</v>
      </c>
      <c r="B10" s="6">
        <v>81011010</v>
      </c>
      <c r="C10" s="7"/>
      <c r="D10" s="7">
        <f>VLOOKUP('Raw data'!P10,'점포코드 '!A:B,2,0)</f>
        <v>81033036</v>
      </c>
      <c r="E10" s="18" t="str">
        <f>VLOOKUP(D10,'점포코드 '!B:C,2,0)</f>
        <v>평택</v>
      </c>
      <c r="F10" s="19" t="str">
        <f>VLOOKUP('Raw data'!F10,제품명!C:D,2,0)</f>
        <v>ME90621M3M</v>
      </c>
      <c r="G10" s="39" t="str">
        <f>VLOOKUP(F10,제품명!D:E,2,0)</f>
        <v>하다라보 고쿠쥰 밀크 140ml*2입</v>
      </c>
      <c r="H10" s="6">
        <f>'Raw data'!K10</f>
        <v>144</v>
      </c>
      <c r="I10" s="13">
        <f>'Raw data'!H10</f>
        <v>12784</v>
      </c>
      <c r="J10" s="4">
        <f t="shared" si="0"/>
        <v>1840896</v>
      </c>
      <c r="L10" s="74" t="str">
        <f>'Raw data'!U10</f>
        <v>TR수원점</v>
      </c>
      <c r="M10" s="73" t="s">
        <v>86</v>
      </c>
    </row>
    <row r="11" spans="1:13" ht="12" customHeight="1">
      <c r="A11" s="6">
        <f>'Raw data'!O11</f>
        <v>20260327</v>
      </c>
      <c r="B11" s="6">
        <v>81011010</v>
      </c>
      <c r="C11" s="7"/>
      <c r="D11" s="7">
        <f>VLOOKUP('Raw data'!P11,'점포코드 '!A:B,2,0)</f>
        <v>81033036</v>
      </c>
      <c r="E11" s="18" t="str">
        <f>VLOOKUP(D11,'점포코드 '!B:C,2,0)</f>
        <v>평택</v>
      </c>
      <c r="F11" s="19" t="str">
        <f>VLOOKUP('Raw data'!F11,제품명!C:D,2,0)</f>
        <v>ME90621M3M</v>
      </c>
      <c r="G11" s="39" t="str">
        <f>VLOOKUP(F11,제품명!D:E,2,0)</f>
        <v>하다라보 고쿠쥰 밀크 140ml*2입</v>
      </c>
      <c r="H11" s="6">
        <f>'Raw data'!K11</f>
        <v>144</v>
      </c>
      <c r="I11" s="13">
        <f>'Raw data'!H11</f>
        <v>12784</v>
      </c>
      <c r="J11" s="4">
        <f t="shared" si="0"/>
        <v>1840896</v>
      </c>
      <c r="L11" s="74" t="str">
        <f>'Raw data'!U11</f>
        <v>TR스타필드수원화서점</v>
      </c>
      <c r="M11" s="73" t="s">
        <v>86</v>
      </c>
    </row>
    <row r="12" spans="1:13" s="54" customFormat="1" ht="12" customHeight="1">
      <c r="A12" s="48">
        <f>'Raw data'!O12</f>
        <v>20260327</v>
      </c>
      <c r="B12" s="48">
        <v>81011010</v>
      </c>
      <c r="C12" s="49"/>
      <c r="D12" s="49">
        <f>VLOOKUP('Raw data'!P12,'점포코드 '!A:B,2,0)</f>
        <v>89011174</v>
      </c>
      <c r="E12" s="50" t="str">
        <f>VLOOKUP(D12,'점포코드 '!B:C,2,0)</f>
        <v>대구</v>
      </c>
      <c r="F12" s="51" t="str">
        <f>VLOOKUP('Raw data'!F12,제품명!C:D,2,0)</f>
        <v>ME90621M3M</v>
      </c>
      <c r="G12" s="55" t="str">
        <f>VLOOKUP(F12,제품명!D:E,2,0)</f>
        <v>하다라보 고쿠쥰 밀크 140ml*2입</v>
      </c>
      <c r="H12" s="48">
        <f>'Raw data'!K12</f>
        <v>144</v>
      </c>
      <c r="I12" s="52">
        <f>'Raw data'!H12</f>
        <v>12784</v>
      </c>
      <c r="J12" s="53">
        <f t="shared" si="0"/>
        <v>1840896</v>
      </c>
      <c r="L12" s="74" t="str">
        <f>'Raw data'!U12</f>
        <v>TR연산점</v>
      </c>
      <c r="M12" s="73" t="s">
        <v>86</v>
      </c>
    </row>
    <row r="13" spans="1:13" ht="12" customHeight="1">
      <c r="A13" s="6">
        <f>'Raw data'!O13</f>
        <v>20260327</v>
      </c>
      <c r="B13" s="6">
        <v>81011010</v>
      </c>
      <c r="C13" s="7"/>
      <c r="D13" s="7">
        <f>VLOOKUP('Raw data'!P13,'점포코드 '!A:B,2,0)</f>
        <v>81033036</v>
      </c>
      <c r="E13" s="18" t="str">
        <f>VLOOKUP(D13,'점포코드 '!B:C,2,0)</f>
        <v>평택</v>
      </c>
      <c r="F13" s="19" t="str">
        <f>VLOOKUP('Raw data'!F13,제품명!C:D,2,0)</f>
        <v>ME90621L3L</v>
      </c>
      <c r="G13" s="39" t="str">
        <f>VLOOKUP(F13,제품명!D:E,2,0)</f>
        <v>하다라보 고쿠쥰 로션 170ml*2입</v>
      </c>
      <c r="H13" s="6">
        <f>'Raw data'!K13</f>
        <v>144</v>
      </c>
      <c r="I13" s="13">
        <f>'Raw data'!H13</f>
        <v>11655</v>
      </c>
      <c r="J13" s="4">
        <f t="shared" si="0"/>
        <v>1678320</v>
      </c>
      <c r="L13" s="74" t="str">
        <f>'Raw data'!U13</f>
        <v>TR월평점</v>
      </c>
      <c r="M13" s="73" t="s">
        <v>86</v>
      </c>
    </row>
    <row r="14" spans="1:13" ht="12" customHeight="1">
      <c r="A14" s="6">
        <f>'Raw data'!O14</f>
        <v>20260327</v>
      </c>
      <c r="B14" s="6">
        <v>81011010</v>
      </c>
      <c r="C14" s="7"/>
      <c r="D14" s="7">
        <f>VLOOKUP('Raw data'!P14,'점포코드 '!A:B,2,0)</f>
        <v>81033036</v>
      </c>
      <c r="E14" s="18" t="str">
        <f>VLOOKUP(D14,'점포코드 '!B:C,2,0)</f>
        <v>평택</v>
      </c>
      <c r="F14" s="19" t="str">
        <f>VLOOKUP('Raw data'!F14,제품명!C:D,2,0)</f>
        <v>ME90621M3M</v>
      </c>
      <c r="G14" s="39" t="str">
        <f>VLOOKUP(F14,제품명!D:E,2,0)</f>
        <v>하다라보 고쿠쥰 밀크 140ml*2입</v>
      </c>
      <c r="H14" s="6">
        <f>'Raw data'!K14</f>
        <v>144</v>
      </c>
      <c r="I14" s="13">
        <f>'Raw data'!H14</f>
        <v>12784</v>
      </c>
      <c r="J14" s="4">
        <f t="shared" si="0"/>
        <v>1840896</v>
      </c>
      <c r="L14" s="74" t="str">
        <f>'Raw data'!U14</f>
        <v>TR월평점</v>
      </c>
      <c r="M14" s="73" t="s">
        <v>86</v>
      </c>
    </row>
    <row r="15" spans="1:13" ht="12" customHeight="1">
      <c r="A15" s="6">
        <f>'Raw data'!O15</f>
        <v>0</v>
      </c>
      <c r="B15" s="6">
        <v>81011010</v>
      </c>
      <c r="C15" s="7"/>
      <c r="D15" s="7" t="e">
        <f>VLOOKUP('Raw data'!P15,'점포코드 '!A:B,2,0)</f>
        <v>#N/A</v>
      </c>
      <c r="E15" s="18" t="e">
        <f>VLOOKUP(D15,'점포코드 '!B:C,2,0)</f>
        <v>#N/A</v>
      </c>
      <c r="F15" s="19" t="e">
        <f>VLOOKUP('Raw data'!F15,제품명!C:D,2,0)</f>
        <v>#N/A</v>
      </c>
      <c r="G15" s="39" t="e">
        <f>VLOOKUP(F15,제품명!D:E,2,0)</f>
        <v>#N/A</v>
      </c>
      <c r="H15" s="6">
        <f>'Raw data'!K15</f>
        <v>0</v>
      </c>
      <c r="I15" s="13">
        <f>'Raw data'!H15</f>
        <v>0</v>
      </c>
      <c r="J15" s="4">
        <f t="shared" si="0"/>
        <v>0</v>
      </c>
      <c r="L15" s="74">
        <f>'Raw data'!U15</f>
        <v>0</v>
      </c>
      <c r="M15" s="73" t="s">
        <v>86</v>
      </c>
    </row>
    <row r="16" spans="1:13" ht="12" customHeight="1">
      <c r="A16" s="6">
        <f>'Raw data'!O16</f>
        <v>0</v>
      </c>
      <c r="B16" s="6">
        <v>81011010</v>
      </c>
      <c r="C16" s="7"/>
      <c r="D16" s="7" t="e">
        <f>VLOOKUP('Raw data'!P16,'점포코드 '!A:B,2,0)</f>
        <v>#N/A</v>
      </c>
      <c r="E16" s="18" t="e">
        <f>VLOOKUP(D16,'점포코드 '!B:C,2,0)</f>
        <v>#N/A</v>
      </c>
      <c r="F16" s="19" t="e">
        <f>VLOOKUP('Raw data'!F16,제품명!C:D,2,0)</f>
        <v>#N/A</v>
      </c>
      <c r="G16" s="39" t="e">
        <f>VLOOKUP(F16,제품명!D:E,2,0)</f>
        <v>#N/A</v>
      </c>
      <c r="H16" s="6">
        <f>'Raw data'!K16</f>
        <v>0</v>
      </c>
      <c r="I16" s="13">
        <f>'Raw data'!H16</f>
        <v>0</v>
      </c>
      <c r="J16" s="4">
        <f t="shared" si="0"/>
        <v>0</v>
      </c>
      <c r="L16" s="74">
        <f>'Raw data'!U16</f>
        <v>0</v>
      </c>
      <c r="M16" s="73" t="s">
        <v>86</v>
      </c>
    </row>
    <row r="17" spans="1:13" ht="12" customHeight="1">
      <c r="A17" s="6">
        <f>'Raw data'!O17</f>
        <v>0</v>
      </c>
      <c r="B17" s="6">
        <v>81011010</v>
      </c>
      <c r="C17" s="7"/>
      <c r="D17" s="7" t="e">
        <f>VLOOKUP('Raw data'!P17,'점포코드 '!A:B,2,0)</f>
        <v>#N/A</v>
      </c>
      <c r="E17" s="18" t="e">
        <f>VLOOKUP(D17,'점포코드 '!B:C,2,0)</f>
        <v>#N/A</v>
      </c>
      <c r="F17" s="19" t="e">
        <f>VLOOKUP('Raw data'!F17,제품명!C:D,2,0)</f>
        <v>#N/A</v>
      </c>
      <c r="G17" s="39" t="e">
        <f>VLOOKUP(F17,제품명!D:E,2,0)</f>
        <v>#N/A</v>
      </c>
      <c r="H17" s="6">
        <f>'Raw data'!K17</f>
        <v>0</v>
      </c>
      <c r="I17" s="13">
        <f>'Raw data'!H17</f>
        <v>0</v>
      </c>
      <c r="J17" s="4">
        <f t="shared" si="0"/>
        <v>0</v>
      </c>
      <c r="L17" s="74">
        <f>'Raw data'!U17</f>
        <v>0</v>
      </c>
      <c r="M17" s="73" t="s">
        <v>86</v>
      </c>
    </row>
    <row r="18" spans="1:13" ht="12" customHeight="1">
      <c r="A18" s="6">
        <f>'Raw data'!O18</f>
        <v>0</v>
      </c>
      <c r="B18" s="6">
        <v>81011010</v>
      </c>
      <c r="C18" s="7"/>
      <c r="D18" s="7" t="e">
        <f>VLOOKUP('Raw data'!P18,'점포코드 '!A:B,2,0)</f>
        <v>#N/A</v>
      </c>
      <c r="E18" s="18" t="e">
        <f>VLOOKUP(D18,'점포코드 '!B:C,2,0)</f>
        <v>#N/A</v>
      </c>
      <c r="F18" s="19" t="e">
        <f>VLOOKUP('Raw data'!F18,제품명!C:D,2,0)</f>
        <v>#N/A</v>
      </c>
      <c r="G18" s="39" t="e">
        <f>VLOOKUP(F18,제품명!D:E,2,0)</f>
        <v>#N/A</v>
      </c>
      <c r="H18" s="6">
        <f>'Raw data'!K18</f>
        <v>0</v>
      </c>
      <c r="I18" s="13">
        <f>'Raw data'!H18</f>
        <v>0</v>
      </c>
      <c r="J18" s="4">
        <f t="shared" si="0"/>
        <v>0</v>
      </c>
      <c r="L18" s="74">
        <f>'Raw data'!U18</f>
        <v>0</v>
      </c>
      <c r="M18" s="73" t="s">
        <v>86</v>
      </c>
    </row>
    <row r="19" spans="1:13" ht="12" customHeight="1">
      <c r="A19" s="6">
        <f>'Raw data'!O19</f>
        <v>0</v>
      </c>
      <c r="B19" s="6">
        <v>81011010</v>
      </c>
      <c r="C19" s="7"/>
      <c r="D19" s="7" t="e">
        <f>VLOOKUP('Raw data'!P19,'점포코드 '!A:B,2,0)</f>
        <v>#N/A</v>
      </c>
      <c r="E19" s="18" t="e">
        <f>VLOOKUP(D19,'점포코드 '!B:C,2,0)</f>
        <v>#N/A</v>
      </c>
      <c r="F19" s="19" t="e">
        <f>VLOOKUP('Raw data'!F19,제품명!C:D,2,0)</f>
        <v>#N/A</v>
      </c>
      <c r="G19" s="39" t="e">
        <f>VLOOKUP(F19,제품명!D:E,2,0)</f>
        <v>#N/A</v>
      </c>
      <c r="H19" s="6">
        <f>'Raw data'!K19</f>
        <v>0</v>
      </c>
      <c r="I19" s="13">
        <f>'Raw data'!H19</f>
        <v>0</v>
      </c>
      <c r="J19" s="4">
        <f t="shared" si="0"/>
        <v>0</v>
      </c>
      <c r="L19" s="74">
        <f>'Raw data'!U19</f>
        <v>0</v>
      </c>
      <c r="M19" s="73" t="s">
        <v>86</v>
      </c>
    </row>
    <row r="20" spans="1:13" ht="12" customHeight="1">
      <c r="A20" s="6">
        <f>'Raw data'!O20</f>
        <v>0</v>
      </c>
      <c r="B20" s="6">
        <v>81011010</v>
      </c>
      <c r="C20" s="7"/>
      <c r="D20" s="7" t="e">
        <f>VLOOKUP('Raw data'!P20,'점포코드 '!A:B,2,0)</f>
        <v>#N/A</v>
      </c>
      <c r="E20" s="18" t="e">
        <f>VLOOKUP(D20,'점포코드 '!B:C,2,0)</f>
        <v>#N/A</v>
      </c>
      <c r="F20" s="19" t="e">
        <f>VLOOKUP('Raw data'!F20,제품명!C:D,2,0)</f>
        <v>#N/A</v>
      </c>
      <c r="G20" s="39" t="e">
        <f>VLOOKUP(F20,제품명!D:E,2,0)</f>
        <v>#N/A</v>
      </c>
      <c r="H20" s="6">
        <f>'Raw data'!K20</f>
        <v>0</v>
      </c>
      <c r="I20" s="13">
        <f>'Raw data'!H20</f>
        <v>0</v>
      </c>
      <c r="J20" s="4">
        <f t="shared" si="0"/>
        <v>0</v>
      </c>
      <c r="L20" s="74">
        <f>'Raw data'!U20</f>
        <v>0</v>
      </c>
      <c r="M20" s="73" t="s">
        <v>86</v>
      </c>
    </row>
    <row r="21" spans="1:13" ht="12" customHeight="1">
      <c r="A21" s="6">
        <f>'Raw data'!O21</f>
        <v>0</v>
      </c>
      <c r="B21" s="6">
        <v>81011010</v>
      </c>
      <c r="C21" s="7"/>
      <c r="D21" s="7" t="e">
        <f>VLOOKUP('Raw data'!P21,'점포코드 '!A:B,2,0)</f>
        <v>#N/A</v>
      </c>
      <c r="E21" s="18" t="e">
        <f>VLOOKUP(D21,'점포코드 '!B:C,2,0)</f>
        <v>#N/A</v>
      </c>
      <c r="F21" s="19" t="e">
        <f>VLOOKUP('Raw data'!F21,제품명!C:D,2,0)</f>
        <v>#N/A</v>
      </c>
      <c r="G21" s="39" t="e">
        <f>VLOOKUP(F21,제품명!D:E,2,0)</f>
        <v>#N/A</v>
      </c>
      <c r="H21" s="6">
        <f>'Raw data'!K21</f>
        <v>0</v>
      </c>
      <c r="I21" s="13">
        <f>'Raw data'!H21</f>
        <v>0</v>
      </c>
      <c r="J21" s="4">
        <f t="shared" si="0"/>
        <v>0</v>
      </c>
      <c r="L21" s="74">
        <f>'Raw data'!U21</f>
        <v>0</v>
      </c>
      <c r="M21" s="73" t="s">
        <v>86</v>
      </c>
    </row>
    <row r="22" spans="1:13" ht="12" customHeight="1">
      <c r="A22" s="6">
        <f>'Raw data'!O22</f>
        <v>0</v>
      </c>
      <c r="B22" s="6">
        <v>81011010</v>
      </c>
      <c r="C22" s="7"/>
      <c r="D22" s="7" t="e">
        <f>VLOOKUP('Raw data'!P22,'점포코드 '!A:B,2,0)</f>
        <v>#N/A</v>
      </c>
      <c r="E22" s="18" t="e">
        <f>VLOOKUP(D22,'점포코드 '!B:C,2,0)</f>
        <v>#N/A</v>
      </c>
      <c r="F22" s="19" t="e">
        <f>VLOOKUP('Raw data'!F22,제품명!C:D,2,0)</f>
        <v>#N/A</v>
      </c>
      <c r="G22" s="39" t="e">
        <f>VLOOKUP(F22,제품명!D:E,2,0)</f>
        <v>#N/A</v>
      </c>
      <c r="H22" s="6">
        <f>'Raw data'!K22</f>
        <v>0</v>
      </c>
      <c r="I22" s="13">
        <f>'Raw data'!H22</f>
        <v>0</v>
      </c>
      <c r="J22" s="4">
        <f t="shared" si="0"/>
        <v>0</v>
      </c>
      <c r="L22" s="74">
        <f>'Raw data'!U22</f>
        <v>0</v>
      </c>
      <c r="M22" s="73" t="s">
        <v>86</v>
      </c>
    </row>
    <row r="23" spans="1:13" ht="12" customHeight="1">
      <c r="A23" s="6">
        <f>'Raw data'!O23</f>
        <v>0</v>
      </c>
      <c r="B23" s="6">
        <v>81011010</v>
      </c>
      <c r="C23" s="7"/>
      <c r="D23" s="7" t="e">
        <f>VLOOKUP('Raw data'!P23,'점포코드 '!A:B,2,0)</f>
        <v>#N/A</v>
      </c>
      <c r="E23" s="18" t="e">
        <f>VLOOKUP(D23,'점포코드 '!B:C,2,0)</f>
        <v>#N/A</v>
      </c>
      <c r="F23" s="19" t="e">
        <f>VLOOKUP('Raw data'!F23,제품명!C:D,2,0)</f>
        <v>#N/A</v>
      </c>
      <c r="G23" s="39" t="e">
        <f>VLOOKUP(F23,제품명!D:E,2,0)</f>
        <v>#N/A</v>
      </c>
      <c r="H23" s="6">
        <f>'Raw data'!K23</f>
        <v>0</v>
      </c>
      <c r="I23" s="13">
        <f>'Raw data'!H23</f>
        <v>0</v>
      </c>
      <c r="J23" s="4">
        <f t="shared" si="0"/>
        <v>0</v>
      </c>
      <c r="L23" s="74">
        <f>'Raw data'!U23</f>
        <v>0</v>
      </c>
      <c r="M23" s="73" t="s">
        <v>86</v>
      </c>
    </row>
    <row r="24" spans="1:13" ht="12" customHeight="1">
      <c r="A24" s="6">
        <f>'Raw data'!O24</f>
        <v>0</v>
      </c>
      <c r="B24" s="6">
        <v>81011010</v>
      </c>
      <c r="C24" s="7"/>
      <c r="D24" s="7" t="e">
        <f>VLOOKUP('Raw data'!P24,'점포코드 '!A:B,2,0)</f>
        <v>#N/A</v>
      </c>
      <c r="E24" s="18" t="e">
        <f>VLOOKUP(D24,'점포코드 '!B:C,2,0)</f>
        <v>#N/A</v>
      </c>
      <c r="F24" s="19" t="e">
        <f>VLOOKUP('Raw data'!F24,제품명!C:D,2,0)</f>
        <v>#N/A</v>
      </c>
      <c r="G24" s="39" t="e">
        <f>VLOOKUP(F24,제품명!D:E,2,0)</f>
        <v>#N/A</v>
      </c>
      <c r="H24" s="6">
        <f>'Raw data'!K24</f>
        <v>0</v>
      </c>
      <c r="I24" s="13">
        <f>'Raw data'!H24</f>
        <v>0</v>
      </c>
      <c r="J24" s="4">
        <f t="shared" si="0"/>
        <v>0</v>
      </c>
      <c r="L24" s="74">
        <f>'Raw data'!U24</f>
        <v>0</v>
      </c>
      <c r="M24" s="73" t="s">
        <v>86</v>
      </c>
    </row>
    <row r="25" spans="1:13" ht="12" customHeight="1">
      <c r="A25" s="6">
        <f>'Raw data'!O25</f>
        <v>0</v>
      </c>
      <c r="B25" s="6">
        <v>81011010</v>
      </c>
      <c r="C25" s="7"/>
      <c r="D25" s="7" t="e">
        <f>VLOOKUP('Raw data'!P25,'점포코드 '!A:B,2,0)</f>
        <v>#N/A</v>
      </c>
      <c r="E25" s="18" t="e">
        <f>VLOOKUP(D25,'점포코드 '!B:C,2,0)</f>
        <v>#N/A</v>
      </c>
      <c r="F25" s="19" t="e">
        <f>VLOOKUP('Raw data'!F25,제품명!C:D,2,0)</f>
        <v>#N/A</v>
      </c>
      <c r="G25" s="39" t="e">
        <f>VLOOKUP(F25,제품명!D:E,2,0)</f>
        <v>#N/A</v>
      </c>
      <c r="H25" s="6">
        <f>'Raw data'!K25</f>
        <v>0</v>
      </c>
      <c r="I25" s="13">
        <f>'Raw data'!H25</f>
        <v>0</v>
      </c>
      <c r="J25" s="4">
        <f t="shared" si="0"/>
        <v>0</v>
      </c>
      <c r="L25" s="74">
        <f>'Raw data'!U25</f>
        <v>0</v>
      </c>
      <c r="M25" s="73" t="s">
        <v>86</v>
      </c>
    </row>
    <row r="26" spans="1:13" ht="12" customHeight="1">
      <c r="A26" s="6">
        <f>'Raw data'!O26</f>
        <v>0</v>
      </c>
      <c r="B26" s="6">
        <v>81011010</v>
      </c>
      <c r="C26" s="7"/>
      <c r="D26" s="7" t="e">
        <f>VLOOKUP('Raw data'!P26,'점포코드 '!A:B,2,0)</f>
        <v>#N/A</v>
      </c>
      <c r="E26" s="18" t="e">
        <f>VLOOKUP(D26,'점포코드 '!B:C,2,0)</f>
        <v>#N/A</v>
      </c>
      <c r="F26" s="19" t="e">
        <f>VLOOKUP('Raw data'!F26,제품명!C:D,2,0)</f>
        <v>#N/A</v>
      </c>
      <c r="G26" s="39" t="e">
        <f>VLOOKUP(F26,제품명!D:E,2,0)</f>
        <v>#N/A</v>
      </c>
      <c r="H26" s="6">
        <f>'Raw data'!K26</f>
        <v>0</v>
      </c>
      <c r="I26" s="13">
        <f>'Raw data'!H26</f>
        <v>0</v>
      </c>
      <c r="J26" s="4">
        <f t="shared" si="0"/>
        <v>0</v>
      </c>
      <c r="L26" s="74">
        <f>'Raw data'!U26</f>
        <v>0</v>
      </c>
      <c r="M26" s="73" t="s">
        <v>86</v>
      </c>
    </row>
    <row r="27" spans="1:13" ht="12" customHeight="1">
      <c r="A27" s="6">
        <f>'Raw data'!O27</f>
        <v>0</v>
      </c>
      <c r="B27" s="6">
        <v>81011010</v>
      </c>
      <c r="C27" s="7"/>
      <c r="D27" s="7" t="e">
        <f>VLOOKUP('Raw data'!P27,'점포코드 '!A:B,2,0)</f>
        <v>#N/A</v>
      </c>
      <c r="E27" s="18" t="e">
        <f>VLOOKUP(D27,'점포코드 '!B:C,2,0)</f>
        <v>#N/A</v>
      </c>
      <c r="F27" s="19" t="e">
        <f>VLOOKUP('Raw data'!F27,제품명!C:D,2,0)</f>
        <v>#N/A</v>
      </c>
      <c r="G27" s="39" t="e">
        <f>VLOOKUP(F27,제품명!D:E,2,0)</f>
        <v>#N/A</v>
      </c>
      <c r="H27" s="6">
        <f>'Raw data'!K27</f>
        <v>0</v>
      </c>
      <c r="I27" s="13">
        <f>'Raw data'!H27</f>
        <v>0</v>
      </c>
      <c r="J27" s="4">
        <f t="shared" si="0"/>
        <v>0</v>
      </c>
      <c r="L27" s="74">
        <f>'Raw data'!U27</f>
        <v>0</v>
      </c>
      <c r="M27" s="73" t="s">
        <v>86</v>
      </c>
    </row>
    <row r="28" spans="1:13" ht="12" customHeight="1">
      <c r="A28" s="6">
        <f>'Raw data'!O28</f>
        <v>0</v>
      </c>
      <c r="B28" s="6">
        <v>81011010</v>
      </c>
      <c r="C28" s="7"/>
      <c r="D28" s="7" t="e">
        <f>VLOOKUP('Raw data'!P28,'점포코드 '!A:B,2,0)</f>
        <v>#N/A</v>
      </c>
      <c r="E28" s="18" t="e">
        <f>VLOOKUP(D28,'점포코드 '!B:C,2,0)</f>
        <v>#N/A</v>
      </c>
      <c r="F28" s="19" t="e">
        <f>VLOOKUP('Raw data'!F28,제품명!C:D,2,0)</f>
        <v>#N/A</v>
      </c>
      <c r="G28" s="39" t="e">
        <f>VLOOKUP(F28,제품명!D:E,2,0)</f>
        <v>#N/A</v>
      </c>
      <c r="H28" s="6">
        <f>'Raw data'!K28</f>
        <v>0</v>
      </c>
      <c r="I28" s="13">
        <f>'Raw data'!H28</f>
        <v>0</v>
      </c>
      <c r="J28" s="4">
        <f t="shared" si="0"/>
        <v>0</v>
      </c>
      <c r="L28" s="74">
        <f>'Raw data'!U28</f>
        <v>0</v>
      </c>
      <c r="M28" s="73" t="s">
        <v>86</v>
      </c>
    </row>
    <row r="29" spans="1:13" ht="12" customHeight="1">
      <c r="A29" s="6">
        <f>'Raw data'!O29</f>
        <v>0</v>
      </c>
      <c r="B29" s="6">
        <v>81011010</v>
      </c>
      <c r="C29" s="7"/>
      <c r="D29" s="7" t="e">
        <f>VLOOKUP('Raw data'!P29,'점포코드 '!A:B,2,0)</f>
        <v>#N/A</v>
      </c>
      <c r="E29" s="18" t="e">
        <f>VLOOKUP(D29,'점포코드 '!B:C,2,0)</f>
        <v>#N/A</v>
      </c>
      <c r="F29" s="19" t="e">
        <f>VLOOKUP('Raw data'!F29,제품명!C:D,2,0)</f>
        <v>#N/A</v>
      </c>
      <c r="G29" s="39" t="e">
        <f>VLOOKUP(F29,제품명!D:E,2,0)</f>
        <v>#N/A</v>
      </c>
      <c r="H29" s="6">
        <f>'Raw data'!K29</f>
        <v>0</v>
      </c>
      <c r="I29" s="13">
        <f>'Raw data'!H29</f>
        <v>0</v>
      </c>
      <c r="J29" s="4">
        <f t="shared" si="0"/>
        <v>0</v>
      </c>
      <c r="L29" s="74">
        <f>'Raw data'!U29</f>
        <v>0</v>
      </c>
      <c r="M29" s="73" t="s">
        <v>86</v>
      </c>
    </row>
    <row r="30" spans="1:13" ht="12" customHeight="1">
      <c r="A30" s="6">
        <f>'Raw data'!O30</f>
        <v>0</v>
      </c>
      <c r="B30" s="6">
        <v>81011010</v>
      </c>
      <c r="C30" s="7"/>
      <c r="D30" s="7" t="e">
        <f>VLOOKUP('Raw data'!P30,'점포코드 '!A:B,2,0)</f>
        <v>#N/A</v>
      </c>
      <c r="E30" s="18" t="e">
        <f>VLOOKUP(D30,'점포코드 '!B:C,2,0)</f>
        <v>#N/A</v>
      </c>
      <c r="F30" s="19" t="e">
        <f>VLOOKUP('Raw data'!F30,제품명!C:D,2,0)</f>
        <v>#N/A</v>
      </c>
      <c r="G30" s="39" t="e">
        <f>VLOOKUP(F30,제품명!D:E,2,0)</f>
        <v>#N/A</v>
      </c>
      <c r="H30" s="6">
        <f>'Raw data'!K30</f>
        <v>0</v>
      </c>
      <c r="I30" s="13">
        <f>'Raw data'!H30</f>
        <v>0</v>
      </c>
      <c r="J30" s="4">
        <f t="shared" si="0"/>
        <v>0</v>
      </c>
      <c r="L30" s="74">
        <f>'Raw data'!U30</f>
        <v>0</v>
      </c>
      <c r="M30" s="73" t="s">
        <v>86</v>
      </c>
    </row>
    <row r="31" spans="1:13" ht="12" customHeight="1">
      <c r="A31" s="6">
        <f>'Raw data'!O31</f>
        <v>0</v>
      </c>
      <c r="B31" s="6">
        <v>81011010</v>
      </c>
      <c r="C31" s="7"/>
      <c r="D31" s="7" t="e">
        <f>VLOOKUP('Raw data'!P31,'점포코드 '!A:B,2,0)</f>
        <v>#N/A</v>
      </c>
      <c r="E31" s="18" t="e">
        <f>VLOOKUP(D31,'점포코드 '!B:C,2,0)</f>
        <v>#N/A</v>
      </c>
      <c r="F31" s="19" t="e">
        <f>VLOOKUP('Raw data'!F31,제품명!C:D,2,0)</f>
        <v>#N/A</v>
      </c>
      <c r="G31" s="39" t="e">
        <f>VLOOKUP(F31,제품명!D:E,2,0)</f>
        <v>#N/A</v>
      </c>
      <c r="H31" s="6">
        <f>'Raw data'!K31</f>
        <v>0</v>
      </c>
      <c r="I31" s="13">
        <f>'Raw data'!H31</f>
        <v>0</v>
      </c>
      <c r="J31" s="4">
        <f t="shared" si="0"/>
        <v>0</v>
      </c>
      <c r="L31" s="74">
        <f>'Raw data'!U31</f>
        <v>0</v>
      </c>
      <c r="M31" s="73" t="s">
        <v>86</v>
      </c>
    </row>
    <row r="32" spans="1:13" ht="12" customHeight="1">
      <c r="A32" s="6">
        <f>'Raw data'!O32</f>
        <v>0</v>
      </c>
      <c r="B32" s="6">
        <v>81011010</v>
      </c>
      <c r="C32" s="7"/>
      <c r="D32" s="7" t="e">
        <f>VLOOKUP('Raw data'!P32,'점포코드 '!A:B,2,0)</f>
        <v>#N/A</v>
      </c>
      <c r="E32" s="18" t="e">
        <f>VLOOKUP(D32,'점포코드 '!B:C,2,0)</f>
        <v>#N/A</v>
      </c>
      <c r="F32" s="19" t="e">
        <f>VLOOKUP('Raw data'!F32,제품명!C:D,2,0)</f>
        <v>#N/A</v>
      </c>
      <c r="G32" s="39" t="e">
        <f>VLOOKUP(F32,제품명!D:E,2,0)</f>
        <v>#N/A</v>
      </c>
      <c r="H32" s="6">
        <f>'Raw data'!K32</f>
        <v>0</v>
      </c>
      <c r="I32" s="13">
        <f>'Raw data'!H32</f>
        <v>0</v>
      </c>
      <c r="J32" s="4">
        <f t="shared" si="0"/>
        <v>0</v>
      </c>
      <c r="L32" s="74">
        <f>'Raw data'!U32</f>
        <v>0</v>
      </c>
      <c r="M32" s="73" t="s">
        <v>86</v>
      </c>
    </row>
    <row r="33" spans="1:13" ht="12" customHeight="1">
      <c r="A33" s="6">
        <f>'Raw data'!O33</f>
        <v>0</v>
      </c>
      <c r="B33" s="6">
        <v>81011010</v>
      </c>
      <c r="C33" s="7"/>
      <c r="D33" s="7" t="e">
        <f>VLOOKUP('Raw data'!P33,'점포코드 '!A:B,2,0)</f>
        <v>#N/A</v>
      </c>
      <c r="E33" s="18" t="e">
        <f>VLOOKUP(D33,'점포코드 '!B:C,2,0)</f>
        <v>#N/A</v>
      </c>
      <c r="F33" s="19" t="e">
        <f>VLOOKUP('Raw data'!F33,제품명!C:D,2,0)</f>
        <v>#N/A</v>
      </c>
      <c r="G33" s="39" t="e">
        <f>VLOOKUP(F33,제품명!D:E,2,0)</f>
        <v>#N/A</v>
      </c>
      <c r="H33" s="6">
        <f>'Raw data'!K33</f>
        <v>0</v>
      </c>
      <c r="I33" s="13">
        <f>'Raw data'!H33</f>
        <v>0</v>
      </c>
      <c r="J33" s="4">
        <f t="shared" si="0"/>
        <v>0</v>
      </c>
      <c r="L33" s="74">
        <f>'Raw data'!U33</f>
        <v>0</v>
      </c>
      <c r="M33" s="73" t="s">
        <v>86</v>
      </c>
    </row>
    <row r="34" spans="1:13" ht="12" customHeight="1">
      <c r="A34" s="6">
        <f>'Raw data'!O34</f>
        <v>0</v>
      </c>
      <c r="B34" s="6">
        <v>81011010</v>
      </c>
      <c r="C34" s="7"/>
      <c r="D34" s="7" t="e">
        <f>VLOOKUP('Raw data'!P34,'점포코드 '!A:B,2,0)</f>
        <v>#N/A</v>
      </c>
      <c r="E34" s="18" t="e">
        <f>VLOOKUP(D34,'점포코드 '!B:C,2,0)</f>
        <v>#N/A</v>
      </c>
      <c r="F34" s="19" t="e">
        <f>VLOOKUP('Raw data'!F34,제품명!C:D,2,0)</f>
        <v>#N/A</v>
      </c>
      <c r="G34" s="39" t="e">
        <f>VLOOKUP(F34,제품명!D:E,2,0)</f>
        <v>#N/A</v>
      </c>
      <c r="H34" s="6">
        <f>'Raw data'!K34</f>
        <v>0</v>
      </c>
      <c r="I34" s="13">
        <f>'Raw data'!H34</f>
        <v>0</v>
      </c>
      <c r="J34" s="4">
        <f t="shared" si="0"/>
        <v>0</v>
      </c>
      <c r="L34" s="74">
        <f>'Raw data'!U34</f>
        <v>0</v>
      </c>
      <c r="M34" s="73" t="s">
        <v>86</v>
      </c>
    </row>
    <row r="35" spans="1:13" ht="12" customHeight="1">
      <c r="A35" s="6">
        <f>'Raw data'!O35</f>
        <v>0</v>
      </c>
      <c r="B35" s="6">
        <v>81011010</v>
      </c>
      <c r="C35" s="7"/>
      <c r="D35" s="7" t="e">
        <f>VLOOKUP('Raw data'!P35,'점포코드 '!A:B,2,0)</f>
        <v>#N/A</v>
      </c>
      <c r="E35" s="18" t="e">
        <f>VLOOKUP(D35,'점포코드 '!B:C,2,0)</f>
        <v>#N/A</v>
      </c>
      <c r="F35" s="19" t="e">
        <f>VLOOKUP('Raw data'!F35,제품명!C:D,2,0)</f>
        <v>#N/A</v>
      </c>
      <c r="G35" s="39" t="e">
        <f>VLOOKUP(F35,제품명!D:E,2,0)</f>
        <v>#N/A</v>
      </c>
      <c r="H35" s="6">
        <f>'Raw data'!K35</f>
        <v>0</v>
      </c>
      <c r="I35" s="13">
        <f>'Raw data'!H35</f>
        <v>0</v>
      </c>
      <c r="J35" s="4">
        <f t="shared" si="0"/>
        <v>0</v>
      </c>
      <c r="L35" s="74">
        <f>'Raw data'!U35</f>
        <v>0</v>
      </c>
      <c r="M35" s="73" t="s">
        <v>86</v>
      </c>
    </row>
    <row r="36" spans="1:13" ht="12" customHeight="1">
      <c r="A36" s="6">
        <f>'Raw data'!O36</f>
        <v>0</v>
      </c>
      <c r="B36" s="6">
        <v>81011010</v>
      </c>
      <c r="C36" s="7"/>
      <c r="D36" s="7" t="e">
        <f>VLOOKUP('Raw data'!P36,'점포코드 '!A:B,2,0)</f>
        <v>#N/A</v>
      </c>
      <c r="E36" s="18" t="e">
        <f>VLOOKUP(D36,'점포코드 '!B:C,2,0)</f>
        <v>#N/A</v>
      </c>
      <c r="F36" s="19" t="e">
        <f>VLOOKUP('Raw data'!F36,제품명!C:D,2,0)</f>
        <v>#N/A</v>
      </c>
      <c r="G36" s="39" t="e">
        <f>VLOOKUP(F36,제품명!D:E,2,0)</f>
        <v>#N/A</v>
      </c>
      <c r="H36" s="6">
        <f>'Raw data'!K36</f>
        <v>0</v>
      </c>
      <c r="I36" s="13">
        <f>'Raw data'!H36</f>
        <v>0</v>
      </c>
      <c r="J36" s="4">
        <f t="shared" si="0"/>
        <v>0</v>
      </c>
      <c r="L36" s="74">
        <f>'Raw data'!U36</f>
        <v>0</v>
      </c>
    </row>
    <row r="37" spans="1:13" ht="12" customHeight="1">
      <c r="A37" s="6">
        <f>'Raw data'!O37</f>
        <v>0</v>
      </c>
      <c r="B37" s="6">
        <v>81011010</v>
      </c>
      <c r="C37" s="7"/>
      <c r="D37" s="7" t="e">
        <f>VLOOKUP('Raw data'!P37,'점포코드 '!A:B,2,0)</f>
        <v>#N/A</v>
      </c>
      <c r="E37" s="18" t="e">
        <f>VLOOKUP(D37,'점포코드 '!B:C,2,0)</f>
        <v>#N/A</v>
      </c>
      <c r="F37" s="19" t="e">
        <f>VLOOKUP('Raw data'!F37,제품명!C:D,2,0)</f>
        <v>#N/A</v>
      </c>
      <c r="G37" s="39" t="e">
        <f>VLOOKUP(F37,제품명!D:E,2,0)</f>
        <v>#N/A</v>
      </c>
      <c r="H37" s="6">
        <f>'Raw data'!K37</f>
        <v>0</v>
      </c>
      <c r="I37" s="13">
        <f>'Raw data'!H37</f>
        <v>0</v>
      </c>
      <c r="J37" s="4">
        <f t="shared" si="0"/>
        <v>0</v>
      </c>
      <c r="L37" s="74">
        <f>'Raw data'!U37</f>
        <v>0</v>
      </c>
    </row>
    <row r="38" spans="1:13" ht="12" customHeight="1">
      <c r="A38" s="6">
        <f>'Raw data'!O38</f>
        <v>0</v>
      </c>
      <c r="B38" s="6">
        <v>81011010</v>
      </c>
      <c r="C38" s="7"/>
      <c r="D38" s="7" t="e">
        <f>VLOOKUP('Raw data'!P38,'점포코드 '!A:B,2,0)</f>
        <v>#N/A</v>
      </c>
      <c r="E38" s="18" t="e">
        <f>VLOOKUP(D38,'점포코드 '!B:C,2,0)</f>
        <v>#N/A</v>
      </c>
      <c r="F38" s="19" t="e">
        <f>VLOOKUP('Raw data'!F38,제품명!C:D,2,0)</f>
        <v>#N/A</v>
      </c>
      <c r="G38" s="39" t="e">
        <f>VLOOKUP(F38,제품명!D:E,2,0)</f>
        <v>#N/A</v>
      </c>
      <c r="H38" s="6">
        <f>'Raw data'!K38</f>
        <v>0</v>
      </c>
      <c r="I38" s="13">
        <f>'Raw data'!H38</f>
        <v>0</v>
      </c>
      <c r="J38" s="4">
        <f t="shared" si="0"/>
        <v>0</v>
      </c>
      <c r="L38" s="74">
        <f>'Raw data'!U38</f>
        <v>0</v>
      </c>
    </row>
    <row r="39" spans="1:13" ht="12" customHeight="1">
      <c r="A39" s="6">
        <f>'Raw data'!O39</f>
        <v>0</v>
      </c>
      <c r="B39" s="6">
        <v>81011010</v>
      </c>
      <c r="C39" s="7"/>
      <c r="D39" s="7" t="e">
        <f>VLOOKUP('Raw data'!P39,'점포코드 '!A:B,2,0)</f>
        <v>#N/A</v>
      </c>
      <c r="E39" s="18" t="e">
        <f>VLOOKUP(D39,'점포코드 '!B:C,2,0)</f>
        <v>#N/A</v>
      </c>
      <c r="F39" s="19" t="e">
        <f>VLOOKUP('Raw data'!F39,제품명!C:D,2,0)</f>
        <v>#N/A</v>
      </c>
      <c r="G39" s="39" t="e">
        <f>VLOOKUP(F39,제품명!D:E,2,0)</f>
        <v>#N/A</v>
      </c>
      <c r="H39" s="6">
        <f>'Raw data'!K39</f>
        <v>0</v>
      </c>
      <c r="I39" s="13">
        <f>'Raw data'!H39</f>
        <v>0</v>
      </c>
      <c r="J39" s="4">
        <f t="shared" si="0"/>
        <v>0</v>
      </c>
      <c r="L39" s="74">
        <f>'Raw data'!U39</f>
        <v>0</v>
      </c>
    </row>
    <row r="40" spans="1:13" ht="12" customHeight="1">
      <c r="A40" s="6">
        <f>'Raw data'!O40</f>
        <v>0</v>
      </c>
      <c r="B40" s="6">
        <v>81011010</v>
      </c>
      <c r="C40" s="7"/>
      <c r="D40" s="7" t="e">
        <f>VLOOKUP('Raw data'!P40,'점포코드 '!A:B,2,0)</f>
        <v>#N/A</v>
      </c>
      <c r="E40" s="18" t="e">
        <f>VLOOKUP(D40,'점포코드 '!B:C,2,0)</f>
        <v>#N/A</v>
      </c>
      <c r="F40" s="19" t="e">
        <f>VLOOKUP('Raw data'!F40,제품명!C:D,2,0)</f>
        <v>#N/A</v>
      </c>
      <c r="G40" s="39" t="e">
        <f>VLOOKUP(F40,제품명!D:E,2,0)</f>
        <v>#N/A</v>
      </c>
      <c r="H40" s="6">
        <f>'Raw data'!K40</f>
        <v>0</v>
      </c>
      <c r="I40" s="13">
        <f>'Raw data'!H40</f>
        <v>0</v>
      </c>
      <c r="J40" s="4">
        <f t="shared" si="0"/>
        <v>0</v>
      </c>
      <c r="L40" s="74">
        <f>'Raw data'!U40</f>
        <v>0</v>
      </c>
    </row>
    <row r="41" spans="1:13" ht="12" customHeight="1">
      <c r="A41" s="6">
        <f>'Raw data'!O41</f>
        <v>0</v>
      </c>
      <c r="B41" s="6">
        <v>81011010</v>
      </c>
      <c r="C41" s="7"/>
      <c r="D41" s="7" t="e">
        <f>VLOOKUP('Raw data'!P41,'점포코드 '!A:B,2,0)</f>
        <v>#N/A</v>
      </c>
      <c r="E41" s="18" t="e">
        <f>VLOOKUP(D41,'점포코드 '!B:C,2,0)</f>
        <v>#N/A</v>
      </c>
      <c r="F41" s="19" t="e">
        <f>VLOOKUP('Raw data'!F41,제품명!C:D,2,0)</f>
        <v>#N/A</v>
      </c>
      <c r="G41" s="39" t="e">
        <f>VLOOKUP(F41,제품명!D:E,2,0)</f>
        <v>#N/A</v>
      </c>
      <c r="H41" s="6">
        <f>'Raw data'!K41</f>
        <v>0</v>
      </c>
      <c r="I41" s="13">
        <f>'Raw data'!H41</f>
        <v>0</v>
      </c>
      <c r="J41" s="4">
        <f t="shared" si="0"/>
        <v>0</v>
      </c>
      <c r="L41" s="74">
        <f>'Raw data'!U41</f>
        <v>0</v>
      </c>
    </row>
    <row r="42" spans="1:13" ht="12" customHeight="1">
      <c r="A42" s="6">
        <f>'Raw data'!O42</f>
        <v>0</v>
      </c>
      <c r="B42" s="6">
        <v>81011010</v>
      </c>
      <c r="C42" s="7"/>
      <c r="D42" s="7" t="e">
        <f>VLOOKUP('Raw data'!P42,'점포코드 '!A:B,2,0)</f>
        <v>#N/A</v>
      </c>
      <c r="E42" s="18" t="e">
        <f>VLOOKUP(D42,'점포코드 '!B:C,2,0)</f>
        <v>#N/A</v>
      </c>
      <c r="F42" s="19" t="e">
        <f>VLOOKUP('Raw data'!F42,제품명!C:D,2,0)</f>
        <v>#N/A</v>
      </c>
      <c r="G42" s="39" t="e">
        <f>VLOOKUP(F42,제품명!D:E,2,0)</f>
        <v>#N/A</v>
      </c>
      <c r="H42" s="6">
        <f>'Raw data'!K42</f>
        <v>0</v>
      </c>
      <c r="I42" s="13">
        <f>'Raw data'!H42</f>
        <v>0</v>
      </c>
      <c r="J42" s="4">
        <f t="shared" si="0"/>
        <v>0</v>
      </c>
      <c r="L42" s="74">
        <f>'Raw data'!U42</f>
        <v>0</v>
      </c>
    </row>
    <row r="43" spans="1:13" ht="12" customHeight="1">
      <c r="A43" s="6">
        <f>'Raw data'!O43</f>
        <v>0</v>
      </c>
      <c r="C43" s="7"/>
      <c r="D43" s="7" t="e">
        <f>VLOOKUP('Raw data'!P43,'점포코드 '!A:B,2,0)</f>
        <v>#N/A</v>
      </c>
      <c r="E43" s="18" t="e">
        <f>VLOOKUP(D43,'점포코드 '!B:C,2,0)</f>
        <v>#N/A</v>
      </c>
      <c r="F43" s="19" t="e">
        <f>VLOOKUP('Raw data'!F43,제품명!C:D,2,0)</f>
        <v>#N/A</v>
      </c>
      <c r="G43" s="39" t="e">
        <f>VLOOKUP(F43,제품명!D:E,2,0)</f>
        <v>#N/A</v>
      </c>
      <c r="H43" s="6">
        <f>'Raw data'!K43</f>
        <v>0</v>
      </c>
      <c r="I43" s="13">
        <f>'Raw data'!H43</f>
        <v>0</v>
      </c>
      <c r="J43" s="4">
        <f t="shared" si="0"/>
        <v>0</v>
      </c>
    </row>
    <row r="44" spans="1:13" ht="12" customHeight="1">
      <c r="A44" s="6">
        <f>'Raw data'!O44</f>
        <v>0</v>
      </c>
      <c r="C44" s="7"/>
      <c r="D44" s="7" t="e">
        <f>VLOOKUP('Raw data'!P44,'점포코드 '!A:B,2,0)</f>
        <v>#N/A</v>
      </c>
      <c r="E44" s="18" t="e">
        <f>VLOOKUP(D44,'점포코드 '!B:C,2,0)</f>
        <v>#N/A</v>
      </c>
      <c r="F44" s="19" t="e">
        <f>VLOOKUP('Raw data'!F44,제품명!C:D,2,0)</f>
        <v>#N/A</v>
      </c>
      <c r="G44" s="39" t="e">
        <f>VLOOKUP(F44,제품명!D:E,2,0)</f>
        <v>#N/A</v>
      </c>
      <c r="H44" s="6">
        <f>'Raw data'!K44</f>
        <v>0</v>
      </c>
      <c r="I44" s="13">
        <f>'Raw data'!H44</f>
        <v>0</v>
      </c>
      <c r="J44" s="4">
        <f t="shared" si="0"/>
        <v>0</v>
      </c>
    </row>
    <row r="45" spans="1:13" ht="12" customHeight="1">
      <c r="A45" s="6">
        <f>'Raw data'!O45</f>
        <v>0</v>
      </c>
      <c r="C45" s="7"/>
      <c r="D45" s="7" t="e">
        <f>VLOOKUP('Raw data'!P45,'점포코드 '!A:B,2,0)</f>
        <v>#N/A</v>
      </c>
      <c r="E45" s="18" t="e">
        <f>VLOOKUP(D45,'점포코드 '!B:C,2,0)</f>
        <v>#N/A</v>
      </c>
      <c r="F45" s="19" t="e">
        <f>VLOOKUP('Raw data'!F45,제품명!C:D,2,0)</f>
        <v>#N/A</v>
      </c>
      <c r="G45" s="39" t="e">
        <f>VLOOKUP(F45,제품명!D:E,2,0)</f>
        <v>#N/A</v>
      </c>
      <c r="H45" s="6">
        <f>'Raw data'!K45</f>
        <v>0</v>
      </c>
      <c r="I45" s="13">
        <f>'Raw data'!H45</f>
        <v>0</v>
      </c>
      <c r="J45" s="4">
        <f t="shared" si="0"/>
        <v>0</v>
      </c>
    </row>
    <row r="46" spans="1:13" ht="12" customHeight="1">
      <c r="A46" s="6">
        <f>'Raw data'!O46</f>
        <v>0</v>
      </c>
      <c r="C46" s="7"/>
      <c r="D46" s="7" t="e">
        <f>VLOOKUP('Raw data'!P46,'점포코드 '!A:B,2,0)</f>
        <v>#N/A</v>
      </c>
      <c r="E46" s="18" t="e">
        <f>VLOOKUP(D46,'점포코드 '!B:C,2,0)</f>
        <v>#N/A</v>
      </c>
      <c r="F46" s="19" t="e">
        <f>VLOOKUP('Raw data'!F46,제품명!C:D,2,0)</f>
        <v>#N/A</v>
      </c>
      <c r="G46" s="39" t="e">
        <f>VLOOKUP(F46,제품명!D:E,2,0)</f>
        <v>#N/A</v>
      </c>
      <c r="H46" s="6">
        <f>'Raw data'!K46</f>
        <v>0</v>
      </c>
      <c r="I46" s="13">
        <f>'Raw data'!H46</f>
        <v>0</v>
      </c>
      <c r="J46" s="4">
        <f t="shared" si="0"/>
        <v>0</v>
      </c>
    </row>
    <row r="47" spans="1:13" ht="12" customHeight="1">
      <c r="A47" s="6">
        <f>'Raw data'!O47</f>
        <v>0</v>
      </c>
      <c r="C47" s="7"/>
      <c r="D47" s="7" t="e">
        <f>VLOOKUP('Raw data'!P47,'점포코드 '!A:B,2,0)</f>
        <v>#N/A</v>
      </c>
      <c r="E47" s="18" t="e">
        <f>VLOOKUP(D47,'점포코드 '!B:C,2,0)</f>
        <v>#N/A</v>
      </c>
      <c r="F47" s="19" t="e">
        <f>VLOOKUP('Raw data'!F47,제품명!C:D,2,0)</f>
        <v>#N/A</v>
      </c>
      <c r="G47" s="39" t="e">
        <f>VLOOKUP(F47,제품명!D:E,2,0)</f>
        <v>#N/A</v>
      </c>
      <c r="H47" s="6">
        <f>'Raw data'!K47</f>
        <v>0</v>
      </c>
      <c r="I47" s="13">
        <f>'Raw data'!H47</f>
        <v>0</v>
      </c>
      <c r="J47" s="4">
        <f t="shared" si="0"/>
        <v>0</v>
      </c>
    </row>
    <row r="48" spans="1:13" ht="12" customHeight="1">
      <c r="A48" s="6">
        <f>'Raw data'!O48</f>
        <v>0</v>
      </c>
      <c r="C48" s="7"/>
      <c r="D48" s="7" t="e">
        <f>VLOOKUP('Raw data'!P48,'점포코드 '!A:B,2,0)</f>
        <v>#N/A</v>
      </c>
      <c r="E48" s="18" t="e">
        <f>VLOOKUP(D48,'점포코드 '!B:C,2,0)</f>
        <v>#N/A</v>
      </c>
      <c r="F48" s="19" t="e">
        <f>VLOOKUP('Raw data'!F48,제품명!C:D,2,0)</f>
        <v>#N/A</v>
      </c>
      <c r="G48" s="39" t="e">
        <f>VLOOKUP(F48,제품명!D:E,2,0)</f>
        <v>#N/A</v>
      </c>
      <c r="H48" s="6">
        <f>'Raw data'!K48</f>
        <v>0</v>
      </c>
      <c r="I48" s="13">
        <f>'Raw data'!H48</f>
        <v>0</v>
      </c>
      <c r="J48" s="4">
        <f t="shared" si="0"/>
        <v>0</v>
      </c>
    </row>
    <row r="49" spans="1:10" ht="12" customHeight="1">
      <c r="A49" s="6">
        <f>'Raw data'!O49</f>
        <v>0</v>
      </c>
      <c r="C49" s="7"/>
      <c r="D49" s="7" t="e">
        <f>VLOOKUP('Raw data'!P49,'점포코드 '!A:B,2,0)</f>
        <v>#N/A</v>
      </c>
      <c r="E49" s="18" t="e">
        <f>VLOOKUP(D49,'점포코드 '!B:C,2,0)</f>
        <v>#N/A</v>
      </c>
      <c r="F49" s="19" t="e">
        <f>VLOOKUP('Raw data'!F49,제품명!C:D,2,0)</f>
        <v>#N/A</v>
      </c>
      <c r="G49" s="39" t="e">
        <f>VLOOKUP(F49,제품명!D:E,2,0)</f>
        <v>#N/A</v>
      </c>
      <c r="H49" s="6">
        <f>'Raw data'!K49</f>
        <v>0</v>
      </c>
      <c r="I49" s="13">
        <f>'Raw data'!H49</f>
        <v>0</v>
      </c>
      <c r="J49" s="4">
        <f t="shared" si="0"/>
        <v>0</v>
      </c>
    </row>
    <row r="50" spans="1:10" ht="12" customHeight="1">
      <c r="A50" s="6">
        <f>'Raw data'!O50</f>
        <v>0</v>
      </c>
      <c r="C50" s="7"/>
      <c r="D50" s="7" t="e">
        <f>VLOOKUP('Raw data'!P50,'점포코드 '!A:B,2,0)</f>
        <v>#N/A</v>
      </c>
      <c r="E50" s="18" t="e">
        <f>VLOOKUP(D50,'점포코드 '!B:C,2,0)</f>
        <v>#N/A</v>
      </c>
      <c r="F50" s="19" t="e">
        <f>VLOOKUP('Raw data'!F50,제품명!C:D,2,0)</f>
        <v>#N/A</v>
      </c>
      <c r="G50" s="39" t="e">
        <f>VLOOKUP(F50,제품명!D:E,2,0)</f>
        <v>#N/A</v>
      </c>
      <c r="H50" s="6">
        <f>'Raw data'!K50</f>
        <v>0</v>
      </c>
      <c r="I50" s="13">
        <f>'Raw data'!H50</f>
        <v>0</v>
      </c>
      <c r="J50" s="4">
        <f t="shared" si="0"/>
        <v>0</v>
      </c>
    </row>
    <row r="51" spans="1:10" ht="12" customHeight="1">
      <c r="A51" s="6">
        <f>'Raw data'!O51</f>
        <v>0</v>
      </c>
      <c r="C51" s="7"/>
      <c r="D51" s="7" t="e">
        <f>VLOOKUP('Raw data'!P51,'점포코드 '!A:B,2,0)</f>
        <v>#N/A</v>
      </c>
      <c r="E51" s="18" t="e">
        <f>VLOOKUP(D51,'점포코드 '!B:C,2,0)</f>
        <v>#N/A</v>
      </c>
      <c r="F51" s="19" t="e">
        <f>VLOOKUP('Raw data'!F51,제품명!C:D,2,0)</f>
        <v>#N/A</v>
      </c>
      <c r="G51" s="39" t="e">
        <f>VLOOKUP(F51,제품명!D:E,2,0)</f>
        <v>#N/A</v>
      </c>
      <c r="H51" s="6">
        <f>'Raw data'!K51</f>
        <v>0</v>
      </c>
      <c r="I51" s="13">
        <f>'Raw data'!H51</f>
        <v>0</v>
      </c>
      <c r="J51" s="4">
        <f t="shared" si="0"/>
        <v>0</v>
      </c>
    </row>
    <row r="52" spans="1:10" ht="12" customHeight="1">
      <c r="A52" s="6">
        <f>'Raw data'!O52</f>
        <v>0</v>
      </c>
      <c r="C52" s="7"/>
      <c r="D52" s="7" t="e">
        <f>VLOOKUP('Raw data'!P52,'점포코드 '!A:B,2,0)</f>
        <v>#N/A</v>
      </c>
      <c r="E52" s="18" t="e">
        <f>VLOOKUP(D52,'점포코드 '!B:C,2,0)</f>
        <v>#N/A</v>
      </c>
      <c r="F52" s="19" t="e">
        <f>VLOOKUP('Raw data'!F52,제품명!C:D,2,0)</f>
        <v>#N/A</v>
      </c>
      <c r="G52" s="39" t="e">
        <f>VLOOKUP(F52,제품명!D:E,2,0)</f>
        <v>#N/A</v>
      </c>
      <c r="H52" s="6">
        <f>'Raw data'!K52</f>
        <v>0</v>
      </c>
      <c r="I52" s="13">
        <f>'Raw data'!H52</f>
        <v>0</v>
      </c>
      <c r="J52" s="4">
        <f t="shared" si="0"/>
        <v>0</v>
      </c>
    </row>
    <row r="53" spans="1:10" ht="12" customHeight="1">
      <c r="A53" s="6">
        <f>'Raw data'!O53</f>
        <v>0</v>
      </c>
      <c r="C53" s="7"/>
      <c r="D53" s="7" t="e">
        <f>VLOOKUP('Raw data'!P53,'점포코드 '!A:B,2,0)</f>
        <v>#N/A</v>
      </c>
      <c r="E53" s="18" t="e">
        <f>VLOOKUP(D53,'점포코드 '!B:C,2,0)</f>
        <v>#N/A</v>
      </c>
      <c r="F53" s="19" t="e">
        <f>VLOOKUP('Raw data'!F53,제품명!C:D,2,0)</f>
        <v>#N/A</v>
      </c>
      <c r="G53" s="39" t="e">
        <f>VLOOKUP(F53,제품명!D:E,2,0)</f>
        <v>#N/A</v>
      </c>
      <c r="H53" s="6">
        <f>'Raw data'!K53</f>
        <v>0</v>
      </c>
      <c r="I53" s="13">
        <f>'Raw data'!H53</f>
        <v>0</v>
      </c>
      <c r="J53" s="4">
        <f t="shared" si="0"/>
        <v>0</v>
      </c>
    </row>
    <row r="54" spans="1:10" ht="12" customHeight="1">
      <c r="A54" s="6">
        <f>'Raw data'!O54</f>
        <v>0</v>
      </c>
      <c r="C54" s="7"/>
      <c r="D54" s="7" t="e">
        <f>VLOOKUP('Raw data'!P54,'점포코드 '!A:B,2,0)</f>
        <v>#N/A</v>
      </c>
      <c r="E54" s="18" t="e">
        <f>VLOOKUP(D54,'점포코드 '!B:C,2,0)</f>
        <v>#N/A</v>
      </c>
      <c r="F54" s="19" t="e">
        <f>VLOOKUP('Raw data'!F54,제품명!C:D,2,0)</f>
        <v>#N/A</v>
      </c>
      <c r="G54" s="39" t="e">
        <f>VLOOKUP(F54,제품명!D:E,2,0)</f>
        <v>#N/A</v>
      </c>
      <c r="H54" s="6">
        <f>'Raw data'!K54</f>
        <v>0</v>
      </c>
      <c r="I54" s="13">
        <f>'Raw data'!H54</f>
        <v>0</v>
      </c>
      <c r="J54" s="4">
        <f t="shared" si="0"/>
        <v>0</v>
      </c>
    </row>
    <row r="55" spans="1:10" ht="12" customHeight="1">
      <c r="A55" s="6">
        <f>'Raw data'!O55</f>
        <v>0</v>
      </c>
      <c r="C55" s="7"/>
      <c r="D55" s="7" t="e">
        <f>VLOOKUP('Raw data'!P55,'점포코드 '!A:B,2,0)</f>
        <v>#N/A</v>
      </c>
      <c r="E55" s="18" t="e">
        <f>VLOOKUP(D55,'점포코드 '!B:C,2,0)</f>
        <v>#N/A</v>
      </c>
      <c r="F55" s="19" t="e">
        <f>VLOOKUP('Raw data'!F55,제품명!C:D,2,0)</f>
        <v>#N/A</v>
      </c>
      <c r="G55" s="39" t="e">
        <f>VLOOKUP(F55,제품명!D:E,2,0)</f>
        <v>#N/A</v>
      </c>
      <c r="H55" s="6">
        <f>'Raw data'!K55</f>
        <v>0</v>
      </c>
      <c r="I55" s="13">
        <f>'Raw data'!H55</f>
        <v>0</v>
      </c>
      <c r="J55" s="4">
        <f t="shared" si="0"/>
        <v>0</v>
      </c>
    </row>
    <row r="56" spans="1:10" ht="12" customHeight="1">
      <c r="A56" s="6">
        <f>'Raw data'!O56</f>
        <v>0</v>
      </c>
      <c r="C56" s="7"/>
      <c r="D56" s="7" t="e">
        <f>VLOOKUP('Raw data'!P56,'점포코드 '!A:B,2,0)</f>
        <v>#N/A</v>
      </c>
      <c r="E56" s="18" t="e">
        <f>VLOOKUP(D56,'점포코드 '!B:C,2,0)</f>
        <v>#N/A</v>
      </c>
      <c r="F56" s="19" t="e">
        <f>VLOOKUP('Raw data'!F56,제품명!C:D,2,0)</f>
        <v>#N/A</v>
      </c>
      <c r="G56" s="39" t="e">
        <f>VLOOKUP(F56,제품명!D:E,2,0)</f>
        <v>#N/A</v>
      </c>
      <c r="H56" s="6">
        <f>'Raw data'!K56</f>
        <v>0</v>
      </c>
      <c r="I56" s="13">
        <f>'Raw data'!H56</f>
        <v>0</v>
      </c>
      <c r="J56" s="4">
        <f t="shared" si="0"/>
        <v>0</v>
      </c>
    </row>
    <row r="57" spans="1:10" ht="12" customHeight="1">
      <c r="A57" s="6">
        <f>'Raw data'!O57</f>
        <v>0</v>
      </c>
      <c r="C57" s="7"/>
      <c r="D57" s="7" t="e">
        <f>VLOOKUP('Raw data'!P57,'점포코드 '!A:B,2,0)</f>
        <v>#N/A</v>
      </c>
      <c r="E57" s="18" t="e">
        <f>VLOOKUP(D57,'점포코드 '!B:C,2,0)</f>
        <v>#N/A</v>
      </c>
      <c r="F57" s="19" t="e">
        <f>VLOOKUP('Raw data'!F57,제품명!C:D,2,0)</f>
        <v>#N/A</v>
      </c>
      <c r="G57" s="39" t="e">
        <f>VLOOKUP(F57,제품명!D:E,2,0)</f>
        <v>#N/A</v>
      </c>
      <c r="H57" s="6">
        <f>'Raw data'!K57</f>
        <v>0</v>
      </c>
      <c r="I57" s="13">
        <f>'Raw data'!H57</f>
        <v>0</v>
      </c>
      <c r="J57" s="4">
        <f t="shared" si="0"/>
        <v>0</v>
      </c>
    </row>
    <row r="58" spans="1:10" ht="12" customHeight="1">
      <c r="A58" s="6">
        <f>'Raw data'!O58</f>
        <v>0</v>
      </c>
      <c r="C58" s="7"/>
      <c r="D58" s="7" t="e">
        <f>VLOOKUP('Raw data'!P58,'점포코드 '!A:B,2,0)</f>
        <v>#N/A</v>
      </c>
      <c r="E58" s="18" t="e">
        <f>VLOOKUP(D58,'점포코드 '!B:C,2,0)</f>
        <v>#N/A</v>
      </c>
      <c r="F58" s="19" t="e">
        <f>VLOOKUP('Raw data'!F58,제품명!C:D,2,0)</f>
        <v>#N/A</v>
      </c>
      <c r="G58" s="39" t="e">
        <f>VLOOKUP(F58,제품명!D:E,2,0)</f>
        <v>#N/A</v>
      </c>
      <c r="H58" s="6">
        <f>'Raw data'!K58</f>
        <v>0</v>
      </c>
      <c r="I58" s="13">
        <f>'Raw data'!H58</f>
        <v>0</v>
      </c>
      <c r="J58" s="4">
        <f t="shared" si="0"/>
        <v>0</v>
      </c>
    </row>
    <row r="59" spans="1:10" ht="12" customHeight="1">
      <c r="A59" s="6">
        <f>'Raw data'!O59</f>
        <v>0</v>
      </c>
      <c r="C59" s="7"/>
      <c r="D59" s="7" t="e">
        <f>VLOOKUP('Raw data'!P59,'점포코드 '!A:B,2,0)</f>
        <v>#N/A</v>
      </c>
      <c r="E59" s="18" t="e">
        <f>VLOOKUP(D59,'점포코드 '!B:C,2,0)</f>
        <v>#N/A</v>
      </c>
      <c r="F59" s="19" t="e">
        <f>VLOOKUP('Raw data'!F59,제품명!C:D,2,0)</f>
        <v>#N/A</v>
      </c>
      <c r="G59" s="39" t="e">
        <f>VLOOKUP(F59,제품명!D:E,2,0)</f>
        <v>#N/A</v>
      </c>
      <c r="H59" s="6">
        <f>'Raw data'!K59</f>
        <v>0</v>
      </c>
      <c r="I59" s="13">
        <f>'Raw data'!H59</f>
        <v>0</v>
      </c>
      <c r="J59" s="4">
        <f t="shared" si="0"/>
        <v>0</v>
      </c>
    </row>
    <row r="60" spans="1:10" ht="12" customHeight="1">
      <c r="A60" s="6">
        <f>'Raw data'!O60</f>
        <v>0</v>
      </c>
      <c r="C60" s="7"/>
      <c r="D60" s="7" t="e">
        <f>VLOOKUP('Raw data'!P60,'점포코드 '!A:B,2,0)</f>
        <v>#N/A</v>
      </c>
      <c r="E60" s="18" t="e">
        <f>VLOOKUP(D60,'점포코드 '!B:C,2,0)</f>
        <v>#N/A</v>
      </c>
      <c r="F60" s="19" t="e">
        <f>VLOOKUP('Raw data'!F60,제품명!C:D,2,0)</f>
        <v>#N/A</v>
      </c>
      <c r="G60" s="39" t="e">
        <f>VLOOKUP(F60,제품명!D:E,2,0)</f>
        <v>#N/A</v>
      </c>
      <c r="H60" s="6">
        <f>'Raw data'!K60</f>
        <v>0</v>
      </c>
      <c r="I60" s="13">
        <f>'Raw data'!H60</f>
        <v>0</v>
      </c>
      <c r="J60" s="4">
        <f t="shared" si="0"/>
        <v>0</v>
      </c>
    </row>
    <row r="61" spans="1:10" ht="12" customHeight="1">
      <c r="A61" s="6">
        <f>'Raw data'!O61</f>
        <v>0</v>
      </c>
      <c r="C61" s="7"/>
      <c r="D61" s="7" t="e">
        <f>VLOOKUP('Raw data'!P61,'점포코드 '!A:B,2,0)</f>
        <v>#N/A</v>
      </c>
      <c r="E61" s="18" t="e">
        <f>VLOOKUP(D61,'점포코드 '!B:C,2,0)</f>
        <v>#N/A</v>
      </c>
      <c r="F61" s="19" t="e">
        <f>VLOOKUP('Raw data'!F61,제품명!C:D,2,0)</f>
        <v>#N/A</v>
      </c>
      <c r="G61" s="39" t="e">
        <f>VLOOKUP(F61,제품명!D:E,2,0)</f>
        <v>#N/A</v>
      </c>
      <c r="H61" s="6">
        <f>'Raw data'!K61</f>
        <v>0</v>
      </c>
      <c r="I61" s="13">
        <f>'Raw data'!H61</f>
        <v>0</v>
      </c>
      <c r="J61" s="4">
        <f t="shared" si="0"/>
        <v>0</v>
      </c>
    </row>
    <row r="62" spans="1:10" ht="12" customHeight="1">
      <c r="A62" s="6">
        <f>'Raw data'!O62</f>
        <v>0</v>
      </c>
      <c r="C62" s="7"/>
      <c r="D62" s="7" t="e">
        <f>VLOOKUP('Raw data'!P62,'점포코드 '!A:B,2,0)</f>
        <v>#N/A</v>
      </c>
      <c r="E62" s="18" t="e">
        <f>VLOOKUP(D62,'점포코드 '!B:C,2,0)</f>
        <v>#N/A</v>
      </c>
      <c r="F62" s="19" t="e">
        <f>VLOOKUP('Raw data'!F62,제품명!C:D,2,0)</f>
        <v>#N/A</v>
      </c>
      <c r="G62" s="39" t="e">
        <f>VLOOKUP(F62,제품명!D:E,2,0)</f>
        <v>#N/A</v>
      </c>
      <c r="H62" s="6">
        <f>'Raw data'!K62</f>
        <v>0</v>
      </c>
      <c r="I62" s="13">
        <f>'Raw data'!H62</f>
        <v>0</v>
      </c>
      <c r="J62" s="4">
        <f t="shared" si="0"/>
        <v>0</v>
      </c>
    </row>
    <row r="63" spans="1:10" ht="12" customHeight="1">
      <c r="A63" s="6">
        <f>'Raw data'!O63</f>
        <v>0</v>
      </c>
      <c r="C63" s="7"/>
      <c r="D63" s="7" t="e">
        <f>VLOOKUP('Raw data'!P63,'점포코드 '!A:B,2,0)</f>
        <v>#N/A</v>
      </c>
      <c r="E63" s="18" t="e">
        <f>VLOOKUP(D63,'점포코드 '!B:C,2,0)</f>
        <v>#N/A</v>
      </c>
      <c r="F63" s="19" t="e">
        <f>VLOOKUP('Raw data'!F63,제품명!C:D,2,0)</f>
        <v>#N/A</v>
      </c>
      <c r="G63" s="39" t="e">
        <f>VLOOKUP(F63,제품명!D:E,2,0)</f>
        <v>#N/A</v>
      </c>
      <c r="H63" s="6">
        <f>'Raw data'!K63</f>
        <v>0</v>
      </c>
      <c r="I63" s="13">
        <f>'Raw data'!H63</f>
        <v>0</v>
      </c>
      <c r="J63" s="4">
        <f t="shared" si="0"/>
        <v>0</v>
      </c>
    </row>
    <row r="64" spans="1:10" ht="12" customHeight="1">
      <c r="A64" s="6">
        <f>'Raw data'!O64</f>
        <v>0</v>
      </c>
      <c r="C64" s="8"/>
      <c r="D64" s="7" t="e">
        <f>VLOOKUP('Raw data'!P64,'점포코드 '!A:B,2,0)</f>
        <v>#N/A</v>
      </c>
      <c r="E64" s="18" t="e">
        <f>VLOOKUP(D64,'점포코드 '!B:C,2,0)</f>
        <v>#N/A</v>
      </c>
      <c r="F64" s="19" t="e">
        <f>VLOOKUP('Raw data'!F64,제품명!C:D,2,0)</f>
        <v>#N/A</v>
      </c>
      <c r="G64" s="39" t="e">
        <f>VLOOKUP(F64,제품명!D:E,2,0)</f>
        <v>#N/A</v>
      </c>
      <c r="H64" s="6">
        <f>'Raw data'!K64</f>
        <v>0</v>
      </c>
      <c r="I64" s="13">
        <f>'Raw data'!H64</f>
        <v>0</v>
      </c>
      <c r="J64" s="4">
        <f t="shared" si="0"/>
        <v>0</v>
      </c>
    </row>
    <row r="65" spans="1:10" ht="12" customHeight="1">
      <c r="A65" s="6">
        <f>'Raw data'!O65</f>
        <v>0</v>
      </c>
      <c r="C65" s="8"/>
      <c r="D65" s="7" t="e">
        <f>VLOOKUP('Raw data'!P65,'점포코드 '!A:B,2,0)</f>
        <v>#N/A</v>
      </c>
      <c r="E65" s="18" t="e">
        <f>VLOOKUP(D65,'점포코드 '!B:C,2,0)</f>
        <v>#N/A</v>
      </c>
      <c r="F65" s="19" t="e">
        <f>VLOOKUP('Raw data'!F65,제품명!C:D,2,0)</f>
        <v>#N/A</v>
      </c>
      <c r="G65" s="39" t="e">
        <f>VLOOKUP(F65,제품명!D:E,2,0)</f>
        <v>#N/A</v>
      </c>
      <c r="H65" s="6">
        <f>'Raw data'!K65</f>
        <v>0</v>
      </c>
      <c r="I65" s="13">
        <f>'Raw data'!H65</f>
        <v>0</v>
      </c>
      <c r="J65" s="4">
        <f t="shared" si="0"/>
        <v>0</v>
      </c>
    </row>
    <row r="66" spans="1:10" ht="12" customHeight="1">
      <c r="A66" s="6">
        <f>'Raw data'!O66</f>
        <v>0</v>
      </c>
      <c r="C66" s="8"/>
      <c r="D66" s="7" t="e">
        <f>VLOOKUP('Raw data'!P66,'점포코드 '!A:B,2,0)</f>
        <v>#N/A</v>
      </c>
      <c r="E66" s="18" t="e">
        <f>VLOOKUP(D66,'점포코드 '!B:C,2,0)</f>
        <v>#N/A</v>
      </c>
      <c r="F66" s="19" t="e">
        <f>VLOOKUP('Raw data'!F66,제품명!C:D,2,0)</f>
        <v>#N/A</v>
      </c>
      <c r="G66" s="39" t="e">
        <f>VLOOKUP(F66,제품명!D:E,2,0)</f>
        <v>#N/A</v>
      </c>
      <c r="H66" s="6">
        <f>'Raw data'!K66</f>
        <v>0</v>
      </c>
      <c r="I66" s="13">
        <f>'Raw data'!H66</f>
        <v>0</v>
      </c>
      <c r="J66" s="4">
        <f t="shared" ref="J66:J129" si="1">H66*I66</f>
        <v>0</v>
      </c>
    </row>
    <row r="67" spans="1:10" ht="12" customHeight="1">
      <c r="A67" s="6">
        <f>'Raw data'!O67</f>
        <v>0</v>
      </c>
      <c r="C67" s="8"/>
      <c r="D67" s="7" t="e">
        <f>VLOOKUP('Raw data'!P67,'점포코드 '!A:B,2,0)</f>
        <v>#N/A</v>
      </c>
      <c r="E67" s="18" t="e">
        <f>VLOOKUP(D67,'점포코드 '!B:C,2,0)</f>
        <v>#N/A</v>
      </c>
      <c r="F67" s="19" t="e">
        <f>VLOOKUP('Raw data'!F67,제품명!C:D,2,0)</f>
        <v>#N/A</v>
      </c>
      <c r="G67" s="39" t="e">
        <f>VLOOKUP(F67,제품명!D:E,2,0)</f>
        <v>#N/A</v>
      </c>
      <c r="H67" s="6">
        <f>'Raw data'!K67</f>
        <v>0</v>
      </c>
      <c r="I67" s="13">
        <f>'Raw data'!H67</f>
        <v>0</v>
      </c>
      <c r="J67" s="4">
        <f t="shared" si="1"/>
        <v>0</v>
      </c>
    </row>
    <row r="68" spans="1:10" ht="12" customHeight="1">
      <c r="A68" s="6">
        <f>'Raw data'!O68</f>
        <v>0</v>
      </c>
      <c r="C68" s="8"/>
      <c r="D68" s="7" t="e">
        <f>VLOOKUP('Raw data'!P68,'점포코드 '!A:B,2,0)</f>
        <v>#N/A</v>
      </c>
      <c r="E68" s="18" t="e">
        <f>VLOOKUP(D68,'점포코드 '!B:C,2,0)</f>
        <v>#N/A</v>
      </c>
      <c r="F68" s="19" t="e">
        <f>VLOOKUP('Raw data'!F68,제품명!C:D,2,0)</f>
        <v>#N/A</v>
      </c>
      <c r="G68" s="39" t="e">
        <f>VLOOKUP(F68,제품명!D:E,2,0)</f>
        <v>#N/A</v>
      </c>
      <c r="H68" s="6">
        <f>'Raw data'!K68</f>
        <v>0</v>
      </c>
      <c r="I68" s="13">
        <f>'Raw data'!H68</f>
        <v>0</v>
      </c>
      <c r="J68" s="4">
        <f t="shared" si="1"/>
        <v>0</v>
      </c>
    </row>
    <row r="69" spans="1:10" ht="12" customHeight="1">
      <c r="A69" s="6">
        <f>'Raw data'!O69</f>
        <v>0</v>
      </c>
      <c r="C69" s="8"/>
      <c r="D69" s="7" t="e">
        <f>VLOOKUP('Raw data'!P69,'점포코드 '!A:B,2,0)</f>
        <v>#N/A</v>
      </c>
      <c r="E69" s="18" t="e">
        <f>VLOOKUP(D69,'점포코드 '!B:C,2,0)</f>
        <v>#N/A</v>
      </c>
      <c r="F69" s="19" t="e">
        <f>VLOOKUP('Raw data'!F69,제품명!C:D,2,0)</f>
        <v>#N/A</v>
      </c>
      <c r="G69" s="39" t="e">
        <f>VLOOKUP(F69,제품명!D:E,2,0)</f>
        <v>#N/A</v>
      </c>
      <c r="H69" s="6">
        <f>'Raw data'!K69</f>
        <v>0</v>
      </c>
      <c r="I69" s="13">
        <f>'Raw data'!H69</f>
        <v>0</v>
      </c>
      <c r="J69" s="4">
        <f t="shared" si="1"/>
        <v>0</v>
      </c>
    </row>
    <row r="70" spans="1:10" ht="12" customHeight="1">
      <c r="A70" s="6">
        <f>'Raw data'!O70</f>
        <v>0</v>
      </c>
      <c r="C70" s="8"/>
      <c r="D70" s="7" t="e">
        <f>VLOOKUP('Raw data'!P70,'점포코드 '!A:B,2,0)</f>
        <v>#N/A</v>
      </c>
      <c r="E70" s="18" t="e">
        <f>VLOOKUP(D70,'점포코드 '!B:C,2,0)</f>
        <v>#N/A</v>
      </c>
      <c r="F70" s="19" t="e">
        <f>VLOOKUP('Raw data'!F70,제품명!C:D,2,0)</f>
        <v>#N/A</v>
      </c>
      <c r="G70" s="39" t="e">
        <f>VLOOKUP(F70,제품명!D:E,2,0)</f>
        <v>#N/A</v>
      </c>
      <c r="H70" s="6">
        <f>'Raw data'!K70</f>
        <v>0</v>
      </c>
      <c r="I70" s="13">
        <f>'Raw data'!H70</f>
        <v>0</v>
      </c>
      <c r="J70" s="4">
        <f t="shared" si="1"/>
        <v>0</v>
      </c>
    </row>
    <row r="71" spans="1:10" ht="12" customHeight="1">
      <c r="A71" s="6">
        <f>'Raw data'!O71</f>
        <v>0</v>
      </c>
      <c r="C71" s="8"/>
      <c r="D71" s="7" t="e">
        <f>VLOOKUP('Raw data'!P71,'점포코드 '!A:B,2,0)</f>
        <v>#N/A</v>
      </c>
      <c r="E71" s="18" t="e">
        <f>VLOOKUP(D71,'점포코드 '!B:C,2,0)</f>
        <v>#N/A</v>
      </c>
      <c r="F71" s="19" t="e">
        <f>VLOOKUP('Raw data'!F71,제품명!C:D,2,0)</f>
        <v>#N/A</v>
      </c>
      <c r="G71" s="39" t="e">
        <f>VLOOKUP(F71,제품명!D:E,2,0)</f>
        <v>#N/A</v>
      </c>
      <c r="H71" s="6">
        <f>'Raw data'!K71</f>
        <v>0</v>
      </c>
      <c r="I71" s="13">
        <f>'Raw data'!H71</f>
        <v>0</v>
      </c>
      <c r="J71" s="4">
        <f t="shared" si="1"/>
        <v>0</v>
      </c>
    </row>
    <row r="72" spans="1:10" ht="12" customHeight="1">
      <c r="A72" s="6">
        <f>'Raw data'!O72</f>
        <v>0</v>
      </c>
      <c r="C72" s="8"/>
      <c r="D72" s="7" t="e">
        <f>VLOOKUP('Raw data'!P72,'점포코드 '!A:B,2,0)</f>
        <v>#N/A</v>
      </c>
      <c r="E72" s="18" t="e">
        <f>VLOOKUP(D72,'점포코드 '!B:C,2,0)</f>
        <v>#N/A</v>
      </c>
      <c r="F72" s="19" t="e">
        <f>VLOOKUP('Raw data'!F72,제품명!C:D,2,0)</f>
        <v>#N/A</v>
      </c>
      <c r="G72" s="39" t="e">
        <f>VLOOKUP(F72,제품명!D:E,2,0)</f>
        <v>#N/A</v>
      </c>
      <c r="H72" s="6">
        <f>'Raw data'!K72</f>
        <v>0</v>
      </c>
      <c r="I72" s="13">
        <f>'Raw data'!H72</f>
        <v>0</v>
      </c>
      <c r="J72" s="4">
        <f t="shared" si="1"/>
        <v>0</v>
      </c>
    </row>
    <row r="73" spans="1:10" ht="12" customHeight="1">
      <c r="A73" s="6">
        <f>'Raw data'!O73</f>
        <v>0</v>
      </c>
      <c r="C73" s="8"/>
      <c r="D73" s="7" t="e">
        <f>VLOOKUP('Raw data'!P73,'점포코드 '!A:B,2,0)</f>
        <v>#N/A</v>
      </c>
      <c r="E73" s="18" t="e">
        <f>VLOOKUP(D73,'점포코드 '!B:C,2,0)</f>
        <v>#N/A</v>
      </c>
      <c r="F73" s="19" t="e">
        <f>VLOOKUP('Raw data'!F73,제품명!C:D,2,0)</f>
        <v>#N/A</v>
      </c>
      <c r="G73" s="39" t="e">
        <f>VLOOKUP(F73,제품명!D:E,2,0)</f>
        <v>#N/A</v>
      </c>
      <c r="H73" s="6">
        <f>'Raw data'!K73</f>
        <v>0</v>
      </c>
      <c r="I73" s="13">
        <f>'Raw data'!H73</f>
        <v>0</v>
      </c>
      <c r="J73" s="4">
        <f t="shared" si="1"/>
        <v>0</v>
      </c>
    </row>
    <row r="74" spans="1:10" ht="12" customHeight="1">
      <c r="A74" s="6">
        <f>'Raw data'!O74</f>
        <v>0</v>
      </c>
      <c r="C74" s="8"/>
      <c r="D74" s="7" t="e">
        <f>VLOOKUP('Raw data'!P74,'점포코드 '!A:B,2,0)</f>
        <v>#N/A</v>
      </c>
      <c r="E74" s="18" t="e">
        <f>VLOOKUP(D74,'점포코드 '!B:C,2,0)</f>
        <v>#N/A</v>
      </c>
      <c r="F74" s="19" t="e">
        <f>VLOOKUP('Raw data'!F74,제품명!C:D,2,0)</f>
        <v>#N/A</v>
      </c>
      <c r="G74" s="39" t="e">
        <f>VLOOKUP(F74,제품명!D:E,2,0)</f>
        <v>#N/A</v>
      </c>
      <c r="H74" s="6">
        <f>'Raw data'!K74</f>
        <v>0</v>
      </c>
      <c r="I74" s="13">
        <f>'Raw data'!H74</f>
        <v>0</v>
      </c>
      <c r="J74" s="4">
        <f t="shared" si="1"/>
        <v>0</v>
      </c>
    </row>
    <row r="75" spans="1:10" ht="12" customHeight="1">
      <c r="A75" s="6">
        <f>'Raw data'!O75</f>
        <v>0</v>
      </c>
      <c r="C75" s="8"/>
      <c r="D75" s="7" t="e">
        <f>VLOOKUP('Raw data'!P75,'점포코드 '!A:B,2,0)</f>
        <v>#N/A</v>
      </c>
      <c r="E75" s="18" t="e">
        <f>VLOOKUP(D75,'점포코드 '!B:C,2,0)</f>
        <v>#N/A</v>
      </c>
      <c r="F75" s="19" t="e">
        <f>VLOOKUP('Raw data'!F75,제품명!C:D,2,0)</f>
        <v>#N/A</v>
      </c>
      <c r="G75" s="39" t="e">
        <f>VLOOKUP(F75,제품명!D:E,2,0)</f>
        <v>#N/A</v>
      </c>
      <c r="H75" s="6">
        <f>'Raw data'!K75</f>
        <v>0</v>
      </c>
      <c r="I75" s="13">
        <f>'Raw data'!H75</f>
        <v>0</v>
      </c>
      <c r="J75" s="4">
        <f t="shared" si="1"/>
        <v>0</v>
      </c>
    </row>
    <row r="76" spans="1:10" ht="12" customHeight="1">
      <c r="A76" s="6">
        <f>'Raw data'!O76</f>
        <v>0</v>
      </c>
      <c r="C76" s="8"/>
      <c r="D76" s="7" t="e">
        <f>VLOOKUP('Raw data'!P76,'점포코드 '!A:B,2,0)</f>
        <v>#N/A</v>
      </c>
      <c r="E76" s="18" t="e">
        <f>VLOOKUP(D76,'점포코드 '!B:C,2,0)</f>
        <v>#N/A</v>
      </c>
      <c r="F76" s="19" t="e">
        <f>VLOOKUP('Raw data'!F76,제품명!C:D,2,0)</f>
        <v>#N/A</v>
      </c>
      <c r="G76" s="39" t="e">
        <f>VLOOKUP(F76,제품명!D:E,2,0)</f>
        <v>#N/A</v>
      </c>
      <c r="H76" s="6">
        <f>'Raw data'!K76</f>
        <v>0</v>
      </c>
      <c r="I76" s="13">
        <f>'Raw data'!H76</f>
        <v>0</v>
      </c>
      <c r="J76" s="4">
        <f t="shared" si="1"/>
        <v>0</v>
      </c>
    </row>
    <row r="77" spans="1:10" ht="12" customHeight="1">
      <c r="A77" s="6">
        <f>'Raw data'!O77</f>
        <v>0</v>
      </c>
      <c r="C77" s="8"/>
      <c r="D77" s="7" t="e">
        <f>VLOOKUP('Raw data'!P77,'점포코드 '!A:B,2,0)</f>
        <v>#N/A</v>
      </c>
      <c r="E77" s="18" t="e">
        <f>VLOOKUP(D77,'점포코드 '!B:C,2,0)</f>
        <v>#N/A</v>
      </c>
      <c r="F77" s="19" t="e">
        <f>VLOOKUP('Raw data'!F77,제품명!C:D,2,0)</f>
        <v>#N/A</v>
      </c>
      <c r="G77" s="39" t="e">
        <f>VLOOKUP(F77,제품명!D:E,2,0)</f>
        <v>#N/A</v>
      </c>
      <c r="H77" s="6">
        <f>'Raw data'!K77</f>
        <v>0</v>
      </c>
      <c r="I77" s="13">
        <f>'Raw data'!H77</f>
        <v>0</v>
      </c>
      <c r="J77" s="4">
        <f t="shared" si="1"/>
        <v>0</v>
      </c>
    </row>
    <row r="78" spans="1:10" ht="12" customHeight="1">
      <c r="A78" s="6">
        <f>'Raw data'!O78</f>
        <v>0</v>
      </c>
      <c r="C78" s="8"/>
      <c r="D78" s="7" t="e">
        <f>VLOOKUP('Raw data'!P78,'점포코드 '!A:B,2,0)</f>
        <v>#N/A</v>
      </c>
      <c r="E78" s="18" t="e">
        <f>VLOOKUP(D78,'점포코드 '!B:C,2,0)</f>
        <v>#N/A</v>
      </c>
      <c r="F78" s="19" t="e">
        <f>VLOOKUP('Raw data'!F78,제품명!C:D,2,0)</f>
        <v>#N/A</v>
      </c>
      <c r="G78" s="39" t="e">
        <f>VLOOKUP(F78,제품명!D:E,2,0)</f>
        <v>#N/A</v>
      </c>
      <c r="H78" s="6">
        <f>'Raw data'!K78</f>
        <v>0</v>
      </c>
      <c r="I78" s="13">
        <f>'Raw data'!H78</f>
        <v>0</v>
      </c>
      <c r="J78" s="4">
        <f t="shared" si="1"/>
        <v>0</v>
      </c>
    </row>
    <row r="79" spans="1:10" ht="12" customHeight="1">
      <c r="A79" s="6">
        <f>'Raw data'!O79</f>
        <v>0</v>
      </c>
      <c r="C79" s="8"/>
      <c r="D79" s="7" t="e">
        <f>VLOOKUP('Raw data'!P79,'점포코드 '!A:B,2,0)</f>
        <v>#N/A</v>
      </c>
      <c r="E79" s="18" t="e">
        <f>VLOOKUP(D79,'점포코드 '!B:C,2,0)</f>
        <v>#N/A</v>
      </c>
      <c r="F79" s="19" t="e">
        <f>VLOOKUP('Raw data'!F79,제품명!C:D,2,0)</f>
        <v>#N/A</v>
      </c>
      <c r="G79" s="39" t="e">
        <f>VLOOKUP(F79,제품명!D:E,2,0)</f>
        <v>#N/A</v>
      </c>
      <c r="H79" s="6">
        <f>'Raw data'!K79</f>
        <v>0</v>
      </c>
      <c r="I79" s="13">
        <f>'Raw data'!H79</f>
        <v>0</v>
      </c>
      <c r="J79" s="4">
        <f t="shared" si="1"/>
        <v>0</v>
      </c>
    </row>
    <row r="80" spans="1:10" ht="12" customHeight="1">
      <c r="A80" s="6">
        <f>'Raw data'!O80</f>
        <v>0</v>
      </c>
      <c r="C80" s="8"/>
      <c r="D80" s="7" t="e">
        <f>VLOOKUP('Raw data'!P80,'점포코드 '!A:B,2,0)</f>
        <v>#N/A</v>
      </c>
      <c r="E80" s="18" t="e">
        <f>VLOOKUP(D80,'점포코드 '!B:C,2,0)</f>
        <v>#N/A</v>
      </c>
      <c r="F80" s="19" t="e">
        <f>VLOOKUP('Raw data'!F80,제품명!C:D,2,0)</f>
        <v>#N/A</v>
      </c>
      <c r="G80" s="39" t="e">
        <f>VLOOKUP(F80,제품명!D:E,2,0)</f>
        <v>#N/A</v>
      </c>
      <c r="H80" s="6">
        <f>'Raw data'!K80</f>
        <v>0</v>
      </c>
      <c r="I80" s="13">
        <f>'Raw data'!H80</f>
        <v>0</v>
      </c>
      <c r="J80" s="4">
        <f t="shared" si="1"/>
        <v>0</v>
      </c>
    </row>
    <row r="81" spans="1:10" ht="12" customHeight="1">
      <c r="A81" s="6">
        <f>'Raw data'!O81</f>
        <v>0</v>
      </c>
      <c r="C81" s="8"/>
      <c r="D81" s="7" t="e">
        <f>VLOOKUP('Raw data'!P81,'점포코드 '!A:B,2,0)</f>
        <v>#N/A</v>
      </c>
      <c r="E81" s="18" t="e">
        <f>VLOOKUP(D81,'점포코드 '!B:C,2,0)</f>
        <v>#N/A</v>
      </c>
      <c r="F81" s="19" t="e">
        <f>VLOOKUP('Raw data'!F81,제품명!C:D,2,0)</f>
        <v>#N/A</v>
      </c>
      <c r="G81" s="39" t="e">
        <f>VLOOKUP(F81,제품명!D:E,2,0)</f>
        <v>#N/A</v>
      </c>
      <c r="H81" s="6">
        <f>'Raw data'!K81</f>
        <v>0</v>
      </c>
      <c r="I81" s="13">
        <f>'Raw data'!H81</f>
        <v>0</v>
      </c>
      <c r="J81" s="4">
        <f t="shared" si="1"/>
        <v>0</v>
      </c>
    </row>
    <row r="82" spans="1:10" ht="12" customHeight="1">
      <c r="A82" s="6">
        <f>'Raw data'!O82</f>
        <v>0</v>
      </c>
      <c r="C82" s="8"/>
      <c r="D82" s="7" t="e">
        <f>VLOOKUP('Raw data'!P82,'점포코드 '!A:B,2,0)</f>
        <v>#N/A</v>
      </c>
      <c r="E82" s="18" t="e">
        <f>VLOOKUP(D82,'점포코드 '!B:C,2,0)</f>
        <v>#N/A</v>
      </c>
      <c r="F82" s="19" t="e">
        <f>VLOOKUP('Raw data'!F82,제품명!C:D,2,0)</f>
        <v>#N/A</v>
      </c>
      <c r="G82" s="39" t="e">
        <f>VLOOKUP(F82,제품명!D:E,2,0)</f>
        <v>#N/A</v>
      </c>
      <c r="H82" s="6">
        <f>'Raw data'!K82</f>
        <v>0</v>
      </c>
      <c r="I82" s="13">
        <f>'Raw data'!H82</f>
        <v>0</v>
      </c>
      <c r="J82" s="4">
        <f t="shared" si="1"/>
        <v>0</v>
      </c>
    </row>
    <row r="83" spans="1:10" ht="12" customHeight="1">
      <c r="A83" s="6">
        <f>'Raw data'!O83</f>
        <v>0</v>
      </c>
      <c r="C83" s="8"/>
      <c r="D83" s="7" t="e">
        <f>VLOOKUP('Raw data'!P83,'점포코드 '!A:B,2,0)</f>
        <v>#N/A</v>
      </c>
      <c r="E83" s="18" t="e">
        <f>VLOOKUP(D83,'점포코드 '!B:C,2,0)</f>
        <v>#N/A</v>
      </c>
      <c r="F83" s="19" t="e">
        <f>VLOOKUP('Raw data'!F83,제품명!C:D,2,0)</f>
        <v>#N/A</v>
      </c>
      <c r="G83" s="39" t="e">
        <f>VLOOKUP(F83,제품명!D:E,2,0)</f>
        <v>#N/A</v>
      </c>
      <c r="H83" s="6">
        <f>'Raw data'!K83</f>
        <v>0</v>
      </c>
      <c r="I83" s="13">
        <f>'Raw data'!H83</f>
        <v>0</v>
      </c>
      <c r="J83" s="4">
        <f t="shared" si="1"/>
        <v>0</v>
      </c>
    </row>
    <row r="84" spans="1:10" ht="12" customHeight="1">
      <c r="A84" s="6">
        <f>'Raw data'!O84</f>
        <v>0</v>
      </c>
      <c r="C84" s="8"/>
      <c r="D84" s="7" t="e">
        <f>VLOOKUP('Raw data'!P84,'점포코드 '!A:B,2,0)</f>
        <v>#N/A</v>
      </c>
      <c r="E84" s="18" t="e">
        <f>VLOOKUP(D84,'점포코드 '!B:C,2,0)</f>
        <v>#N/A</v>
      </c>
      <c r="F84" s="19" t="e">
        <f>VLOOKUP('Raw data'!F84,제품명!C:D,2,0)</f>
        <v>#N/A</v>
      </c>
      <c r="G84" s="39" t="e">
        <f>VLOOKUP(F84,제품명!D:E,2,0)</f>
        <v>#N/A</v>
      </c>
      <c r="H84" s="6">
        <f>'Raw data'!K84</f>
        <v>0</v>
      </c>
      <c r="I84" s="13">
        <f>'Raw data'!H84</f>
        <v>0</v>
      </c>
      <c r="J84" s="4">
        <f t="shared" si="1"/>
        <v>0</v>
      </c>
    </row>
    <row r="85" spans="1:10" ht="12" customHeight="1">
      <c r="A85" s="6">
        <f>'Raw data'!O85</f>
        <v>0</v>
      </c>
      <c r="C85" s="8"/>
      <c r="D85" s="7" t="e">
        <f>VLOOKUP('Raw data'!P85,'점포코드 '!A:B,2,0)</f>
        <v>#N/A</v>
      </c>
      <c r="E85" s="18" t="e">
        <f>VLOOKUP(D85,'점포코드 '!B:C,2,0)</f>
        <v>#N/A</v>
      </c>
      <c r="F85" s="19" t="e">
        <f>VLOOKUP('Raw data'!F85,제품명!C:D,2,0)</f>
        <v>#N/A</v>
      </c>
      <c r="G85" s="39" t="e">
        <f>VLOOKUP(F85,제품명!D:E,2,0)</f>
        <v>#N/A</v>
      </c>
      <c r="H85" s="6">
        <f>'Raw data'!K85</f>
        <v>0</v>
      </c>
      <c r="I85" s="13">
        <f>'Raw data'!H85</f>
        <v>0</v>
      </c>
      <c r="J85" s="4">
        <f t="shared" si="1"/>
        <v>0</v>
      </c>
    </row>
    <row r="86" spans="1:10" ht="12" customHeight="1">
      <c r="A86" s="6">
        <f>'Raw data'!O86</f>
        <v>0</v>
      </c>
      <c r="C86" s="8"/>
      <c r="D86" s="7" t="e">
        <f>VLOOKUP('Raw data'!P86,'점포코드 '!A:B,2,0)</f>
        <v>#N/A</v>
      </c>
      <c r="E86" s="18" t="e">
        <f>VLOOKUP(D86,'점포코드 '!B:C,2,0)</f>
        <v>#N/A</v>
      </c>
      <c r="F86" s="19" t="e">
        <f>VLOOKUP('Raw data'!F86,제품명!C:D,2,0)</f>
        <v>#N/A</v>
      </c>
      <c r="G86" s="39" t="e">
        <f>VLOOKUP(F86,제품명!D:E,2,0)</f>
        <v>#N/A</v>
      </c>
      <c r="H86" s="6">
        <f>'Raw data'!K86</f>
        <v>0</v>
      </c>
      <c r="I86" s="13">
        <f>'Raw data'!H86</f>
        <v>0</v>
      </c>
      <c r="J86" s="4">
        <f t="shared" si="1"/>
        <v>0</v>
      </c>
    </row>
    <row r="87" spans="1:10" ht="12" customHeight="1">
      <c r="A87" s="6">
        <f>'Raw data'!O87</f>
        <v>0</v>
      </c>
      <c r="C87" s="8"/>
      <c r="D87" s="7" t="e">
        <f>VLOOKUP('Raw data'!P87,'점포코드 '!A:B,2,0)</f>
        <v>#N/A</v>
      </c>
      <c r="E87" s="18" t="e">
        <f>VLOOKUP(D87,'점포코드 '!B:C,2,0)</f>
        <v>#N/A</v>
      </c>
      <c r="F87" s="19" t="e">
        <f>VLOOKUP('Raw data'!F87,제품명!C:D,2,0)</f>
        <v>#N/A</v>
      </c>
      <c r="G87" s="39" t="e">
        <f>VLOOKUP(F87,제품명!D:E,2,0)</f>
        <v>#N/A</v>
      </c>
      <c r="H87" s="6">
        <f>'Raw data'!K87</f>
        <v>0</v>
      </c>
      <c r="I87" s="13">
        <f>'Raw data'!H87</f>
        <v>0</v>
      </c>
      <c r="J87" s="4">
        <f t="shared" si="1"/>
        <v>0</v>
      </c>
    </row>
    <row r="88" spans="1:10" ht="12" customHeight="1">
      <c r="A88" s="6">
        <f>'Raw data'!O88</f>
        <v>0</v>
      </c>
      <c r="C88" s="8"/>
      <c r="D88" s="7" t="e">
        <f>VLOOKUP('Raw data'!P88,'점포코드 '!A:B,2,0)</f>
        <v>#N/A</v>
      </c>
      <c r="E88" s="18" t="e">
        <f>VLOOKUP(D88,'점포코드 '!B:C,2,0)</f>
        <v>#N/A</v>
      </c>
      <c r="F88" s="19" t="e">
        <f>VLOOKUP('Raw data'!F88,제품명!C:D,2,0)</f>
        <v>#N/A</v>
      </c>
      <c r="G88" s="39" t="e">
        <f>VLOOKUP(F88,제품명!D:E,2,0)</f>
        <v>#N/A</v>
      </c>
      <c r="H88" s="6">
        <f>'Raw data'!K88</f>
        <v>0</v>
      </c>
      <c r="I88" s="13">
        <f>'Raw data'!H88</f>
        <v>0</v>
      </c>
      <c r="J88" s="4">
        <f t="shared" si="1"/>
        <v>0</v>
      </c>
    </row>
    <row r="89" spans="1:10" ht="12" customHeight="1">
      <c r="A89" s="6">
        <f>'Raw data'!O89</f>
        <v>0</v>
      </c>
      <c r="C89" s="8"/>
      <c r="D89" s="7" t="e">
        <f>VLOOKUP('Raw data'!P89,'점포코드 '!A:B,2,0)</f>
        <v>#N/A</v>
      </c>
      <c r="E89" s="18" t="e">
        <f>VLOOKUP(D89,'점포코드 '!B:C,2,0)</f>
        <v>#N/A</v>
      </c>
      <c r="F89" s="19" t="e">
        <f>VLOOKUP('Raw data'!F89,제품명!C:D,2,0)</f>
        <v>#N/A</v>
      </c>
      <c r="G89" s="39" t="e">
        <f>VLOOKUP(F89,제품명!D:E,2,0)</f>
        <v>#N/A</v>
      </c>
      <c r="H89" s="6">
        <f>'Raw data'!K89</f>
        <v>0</v>
      </c>
      <c r="I89" s="13">
        <f>'Raw data'!H89</f>
        <v>0</v>
      </c>
      <c r="J89" s="4">
        <f t="shared" si="1"/>
        <v>0</v>
      </c>
    </row>
    <row r="90" spans="1:10" ht="12" customHeight="1">
      <c r="A90" s="6">
        <f>'Raw data'!O90</f>
        <v>0</v>
      </c>
      <c r="C90" s="8"/>
      <c r="D90" s="7" t="e">
        <f>VLOOKUP('Raw data'!P90,'점포코드 '!A:B,2,0)</f>
        <v>#N/A</v>
      </c>
      <c r="E90" s="18" t="e">
        <f>VLOOKUP(D90,'점포코드 '!B:C,2,0)</f>
        <v>#N/A</v>
      </c>
      <c r="F90" s="19" t="e">
        <f>VLOOKUP('Raw data'!F90,제품명!C:D,2,0)</f>
        <v>#N/A</v>
      </c>
      <c r="G90" s="39" t="e">
        <f>VLOOKUP(F90,제품명!D:E,2,0)</f>
        <v>#N/A</v>
      </c>
      <c r="H90" s="6">
        <f>'Raw data'!K90</f>
        <v>0</v>
      </c>
      <c r="I90" s="13">
        <f>'Raw data'!H90</f>
        <v>0</v>
      </c>
      <c r="J90" s="4">
        <f t="shared" si="1"/>
        <v>0</v>
      </c>
    </row>
    <row r="91" spans="1:10" ht="12" customHeight="1">
      <c r="A91" s="6">
        <f>'Raw data'!O91</f>
        <v>0</v>
      </c>
      <c r="C91" s="8"/>
      <c r="D91" s="7" t="e">
        <f>VLOOKUP('Raw data'!P91,'점포코드 '!A:B,2,0)</f>
        <v>#N/A</v>
      </c>
      <c r="E91" s="18" t="e">
        <f>VLOOKUP(D91,'점포코드 '!B:C,2,0)</f>
        <v>#N/A</v>
      </c>
      <c r="F91" s="19" t="e">
        <f>VLOOKUP('Raw data'!F91,제품명!C:D,2,0)</f>
        <v>#N/A</v>
      </c>
      <c r="G91" s="39" t="e">
        <f>VLOOKUP(F91,제품명!D:E,2,0)</f>
        <v>#N/A</v>
      </c>
      <c r="H91" s="6">
        <f>'Raw data'!K91</f>
        <v>0</v>
      </c>
      <c r="I91" s="13">
        <f>'Raw data'!H91</f>
        <v>0</v>
      </c>
      <c r="J91" s="4">
        <f t="shared" si="1"/>
        <v>0</v>
      </c>
    </row>
    <row r="92" spans="1:10" ht="12" customHeight="1">
      <c r="A92" s="6">
        <f>'Raw data'!O92</f>
        <v>0</v>
      </c>
      <c r="C92" s="8"/>
      <c r="D92" s="7" t="e">
        <f>VLOOKUP('Raw data'!P92,'점포코드 '!A:B,2,0)</f>
        <v>#N/A</v>
      </c>
      <c r="E92" s="18" t="e">
        <f>VLOOKUP(D92,'점포코드 '!B:C,2,0)</f>
        <v>#N/A</v>
      </c>
      <c r="F92" s="19" t="e">
        <f>VLOOKUP('Raw data'!F92,제품명!C:D,2,0)</f>
        <v>#N/A</v>
      </c>
      <c r="G92" s="39" t="e">
        <f>VLOOKUP(F92,제품명!D:E,2,0)</f>
        <v>#N/A</v>
      </c>
      <c r="H92" s="6">
        <f>'Raw data'!K92</f>
        <v>0</v>
      </c>
      <c r="I92" s="13">
        <f>'Raw data'!H92</f>
        <v>0</v>
      </c>
      <c r="J92" s="4">
        <f t="shared" si="1"/>
        <v>0</v>
      </c>
    </row>
    <row r="93" spans="1:10" ht="12" customHeight="1">
      <c r="A93" s="6">
        <f>'Raw data'!O93</f>
        <v>0</v>
      </c>
      <c r="C93" s="8"/>
      <c r="D93" s="7" t="e">
        <f>VLOOKUP('Raw data'!P93,'점포코드 '!A:B,2,0)</f>
        <v>#N/A</v>
      </c>
      <c r="E93" s="18" t="e">
        <f>VLOOKUP(D93,'점포코드 '!B:C,2,0)</f>
        <v>#N/A</v>
      </c>
      <c r="F93" s="19" t="e">
        <f>VLOOKUP('Raw data'!F93,제품명!C:D,2,0)</f>
        <v>#N/A</v>
      </c>
      <c r="G93" s="39" t="e">
        <f>VLOOKUP(F93,제품명!D:E,2,0)</f>
        <v>#N/A</v>
      </c>
      <c r="H93" s="6">
        <f>'Raw data'!K93</f>
        <v>0</v>
      </c>
      <c r="I93" s="13">
        <f>'Raw data'!H93</f>
        <v>0</v>
      </c>
      <c r="J93" s="4">
        <f t="shared" si="1"/>
        <v>0</v>
      </c>
    </row>
    <row r="94" spans="1:10" ht="12" customHeight="1">
      <c r="A94" s="6">
        <f>'Raw data'!O94</f>
        <v>0</v>
      </c>
      <c r="C94" s="8"/>
      <c r="D94" s="7" t="e">
        <f>VLOOKUP('Raw data'!P94,'점포코드 '!A:B,2,0)</f>
        <v>#N/A</v>
      </c>
      <c r="E94" s="18" t="e">
        <f>VLOOKUP(D94,'점포코드 '!B:C,2,0)</f>
        <v>#N/A</v>
      </c>
      <c r="F94" s="19" t="e">
        <f>VLOOKUP('Raw data'!F94,제품명!C:D,2,0)</f>
        <v>#N/A</v>
      </c>
      <c r="G94" s="39" t="e">
        <f>VLOOKUP(F94,제품명!D:E,2,0)</f>
        <v>#N/A</v>
      </c>
      <c r="H94" s="6">
        <f>'Raw data'!K94</f>
        <v>0</v>
      </c>
      <c r="I94" s="13">
        <f>'Raw data'!H94</f>
        <v>0</v>
      </c>
      <c r="J94" s="4">
        <f t="shared" si="1"/>
        <v>0</v>
      </c>
    </row>
    <row r="95" spans="1:10" ht="12" customHeight="1">
      <c r="A95" s="6">
        <f>'Raw data'!O95</f>
        <v>0</v>
      </c>
      <c r="C95" s="8"/>
      <c r="D95" s="7" t="e">
        <f>VLOOKUP('Raw data'!P95,'점포코드 '!A:B,2,0)</f>
        <v>#N/A</v>
      </c>
      <c r="E95" s="18" t="e">
        <f>VLOOKUP(D95,'점포코드 '!B:C,2,0)</f>
        <v>#N/A</v>
      </c>
      <c r="F95" s="19" t="e">
        <f>VLOOKUP('Raw data'!F95,제품명!C:D,2,0)</f>
        <v>#N/A</v>
      </c>
      <c r="G95" s="39" t="e">
        <f>VLOOKUP(F95,제품명!D:E,2,0)</f>
        <v>#N/A</v>
      </c>
      <c r="H95" s="6">
        <f>'Raw data'!K95</f>
        <v>0</v>
      </c>
      <c r="I95" s="13">
        <f>'Raw data'!H95</f>
        <v>0</v>
      </c>
      <c r="J95" s="4">
        <f t="shared" si="1"/>
        <v>0</v>
      </c>
    </row>
    <row r="96" spans="1:10" ht="12" customHeight="1">
      <c r="A96" s="6">
        <f>'Raw data'!O96</f>
        <v>0</v>
      </c>
      <c r="C96" s="8"/>
      <c r="D96" s="7" t="e">
        <f>VLOOKUP('Raw data'!P96,'점포코드 '!A:B,2,0)</f>
        <v>#N/A</v>
      </c>
      <c r="E96" s="18" t="e">
        <f>VLOOKUP(D96,'점포코드 '!B:C,2,0)</f>
        <v>#N/A</v>
      </c>
      <c r="F96" s="19" t="e">
        <f>VLOOKUP('Raw data'!F96,제품명!C:D,2,0)</f>
        <v>#N/A</v>
      </c>
      <c r="G96" s="39" t="e">
        <f>VLOOKUP(F96,제품명!D:E,2,0)</f>
        <v>#N/A</v>
      </c>
      <c r="H96" s="6">
        <f>'Raw data'!K96</f>
        <v>0</v>
      </c>
      <c r="I96" s="13">
        <f>'Raw data'!H96</f>
        <v>0</v>
      </c>
      <c r="J96" s="4">
        <f t="shared" si="1"/>
        <v>0</v>
      </c>
    </row>
    <row r="97" spans="1:10" ht="12" customHeight="1">
      <c r="A97" s="6">
        <f>'Raw data'!O97</f>
        <v>0</v>
      </c>
      <c r="C97" s="8"/>
      <c r="D97" s="7" t="e">
        <f>VLOOKUP('Raw data'!P97,'점포코드 '!A:B,2,0)</f>
        <v>#N/A</v>
      </c>
      <c r="E97" s="18" t="e">
        <f>VLOOKUP(D97,'점포코드 '!B:C,2,0)</f>
        <v>#N/A</v>
      </c>
      <c r="F97" s="19" t="e">
        <f>VLOOKUP('Raw data'!F97,제품명!C:D,2,0)</f>
        <v>#N/A</v>
      </c>
      <c r="G97" s="39" t="e">
        <f>VLOOKUP(F97,제품명!D:E,2,0)</f>
        <v>#N/A</v>
      </c>
      <c r="H97" s="6">
        <f>'Raw data'!K97</f>
        <v>0</v>
      </c>
      <c r="I97" s="13">
        <f>'Raw data'!H97</f>
        <v>0</v>
      </c>
      <c r="J97" s="4">
        <f t="shared" si="1"/>
        <v>0</v>
      </c>
    </row>
    <row r="98" spans="1:10" ht="12" customHeight="1">
      <c r="A98" s="6">
        <f>'Raw data'!O98</f>
        <v>0</v>
      </c>
      <c r="C98" s="8"/>
      <c r="D98" s="7" t="e">
        <f>VLOOKUP('Raw data'!P98,'점포코드 '!A:B,2,0)</f>
        <v>#N/A</v>
      </c>
      <c r="E98" s="18" t="e">
        <f>VLOOKUP(D98,'점포코드 '!B:C,2,0)</f>
        <v>#N/A</v>
      </c>
      <c r="F98" s="19" t="e">
        <f>VLOOKUP('Raw data'!F98,제품명!C:D,2,0)</f>
        <v>#N/A</v>
      </c>
      <c r="G98" s="39" t="e">
        <f>VLOOKUP(F98,제품명!D:E,2,0)</f>
        <v>#N/A</v>
      </c>
      <c r="H98" s="6">
        <f>'Raw data'!K98</f>
        <v>0</v>
      </c>
      <c r="I98" s="13">
        <f>'Raw data'!H98</f>
        <v>0</v>
      </c>
      <c r="J98" s="4">
        <f t="shared" si="1"/>
        <v>0</v>
      </c>
    </row>
    <row r="99" spans="1:10" ht="12" customHeight="1">
      <c r="A99" s="6">
        <f>'Raw data'!O99</f>
        <v>0</v>
      </c>
      <c r="C99" s="8"/>
      <c r="D99" s="7" t="e">
        <f>VLOOKUP('Raw data'!P99,'점포코드 '!A:B,2,0)</f>
        <v>#N/A</v>
      </c>
      <c r="E99" s="18" t="e">
        <f>VLOOKUP(D99,'점포코드 '!B:C,2,0)</f>
        <v>#N/A</v>
      </c>
      <c r="F99" s="19" t="e">
        <f>VLOOKUP('Raw data'!F99,제품명!C:D,2,0)</f>
        <v>#N/A</v>
      </c>
      <c r="G99" s="39" t="e">
        <f>VLOOKUP(F99,제품명!D:E,2,0)</f>
        <v>#N/A</v>
      </c>
      <c r="H99" s="6">
        <f>'Raw data'!K99</f>
        <v>0</v>
      </c>
      <c r="I99" s="13">
        <f>'Raw data'!H99</f>
        <v>0</v>
      </c>
      <c r="J99" s="4">
        <f t="shared" si="1"/>
        <v>0</v>
      </c>
    </row>
    <row r="100" spans="1:10" ht="12" customHeight="1">
      <c r="A100" s="6">
        <f>'Raw data'!O100</f>
        <v>0</v>
      </c>
      <c r="C100" s="8"/>
      <c r="D100" s="7" t="e">
        <f>VLOOKUP('Raw data'!P100,'점포코드 '!A:B,2,0)</f>
        <v>#N/A</v>
      </c>
      <c r="E100" s="18" t="e">
        <f>VLOOKUP(D100,'점포코드 '!B:C,2,0)</f>
        <v>#N/A</v>
      </c>
      <c r="F100" s="19" t="e">
        <f>VLOOKUP('Raw data'!F100,제품명!C:D,2,0)</f>
        <v>#N/A</v>
      </c>
      <c r="G100" s="39" t="e">
        <f>VLOOKUP(F100,제품명!D:E,2,0)</f>
        <v>#N/A</v>
      </c>
      <c r="H100" s="6">
        <f>'Raw data'!K100</f>
        <v>0</v>
      </c>
      <c r="I100" s="13">
        <f>'Raw data'!H100</f>
        <v>0</v>
      </c>
      <c r="J100" s="4">
        <f t="shared" si="1"/>
        <v>0</v>
      </c>
    </row>
    <row r="101" spans="1:10" ht="12" customHeight="1">
      <c r="A101" s="6">
        <f>'Raw data'!O101</f>
        <v>0</v>
      </c>
      <c r="C101" s="8"/>
      <c r="D101" s="7" t="e">
        <f>VLOOKUP('Raw data'!P101,'점포코드 '!A:B,2,0)</f>
        <v>#N/A</v>
      </c>
      <c r="E101" s="18" t="e">
        <f>VLOOKUP(D101,'점포코드 '!B:C,2,0)</f>
        <v>#N/A</v>
      </c>
      <c r="F101" s="19" t="e">
        <f>VLOOKUP('Raw data'!F101,제품명!C:D,2,0)</f>
        <v>#N/A</v>
      </c>
      <c r="G101" s="39" t="e">
        <f>VLOOKUP(F101,제품명!D:E,2,0)</f>
        <v>#N/A</v>
      </c>
      <c r="H101" s="6">
        <f>'Raw data'!K101</f>
        <v>0</v>
      </c>
      <c r="I101" s="13">
        <f>'Raw data'!H101</f>
        <v>0</v>
      </c>
      <c r="J101" s="4">
        <f t="shared" si="1"/>
        <v>0</v>
      </c>
    </row>
    <row r="102" spans="1:10" ht="12" customHeight="1">
      <c r="A102" s="6">
        <f>'Raw data'!O102</f>
        <v>0</v>
      </c>
      <c r="C102" s="8"/>
      <c r="D102" s="7" t="e">
        <f>VLOOKUP('Raw data'!P102,'점포코드 '!A:B,2,0)</f>
        <v>#N/A</v>
      </c>
      <c r="E102" s="18" t="e">
        <f>VLOOKUP(D102,'점포코드 '!B:C,2,0)</f>
        <v>#N/A</v>
      </c>
      <c r="F102" s="19" t="e">
        <f>VLOOKUP('Raw data'!F102,제품명!C:D,2,0)</f>
        <v>#N/A</v>
      </c>
      <c r="G102" s="39" t="e">
        <f>VLOOKUP(F102,제품명!D:E,2,0)</f>
        <v>#N/A</v>
      </c>
      <c r="H102" s="6">
        <f>'Raw data'!K102</f>
        <v>0</v>
      </c>
      <c r="I102" s="13">
        <f>'Raw data'!H102</f>
        <v>0</v>
      </c>
      <c r="J102" s="4">
        <f t="shared" si="1"/>
        <v>0</v>
      </c>
    </row>
    <row r="103" spans="1:10" ht="12" customHeight="1">
      <c r="A103" s="6">
        <f>'Raw data'!O103</f>
        <v>0</v>
      </c>
      <c r="C103" s="8"/>
      <c r="D103" s="7" t="e">
        <f>VLOOKUP('Raw data'!P103,'점포코드 '!A:B,2,0)</f>
        <v>#N/A</v>
      </c>
      <c r="E103" s="18" t="e">
        <f>VLOOKUP(D103,'점포코드 '!B:C,2,0)</f>
        <v>#N/A</v>
      </c>
      <c r="F103" s="19" t="e">
        <f>VLOOKUP('Raw data'!F103,제품명!C:D,2,0)</f>
        <v>#N/A</v>
      </c>
      <c r="G103" s="39" t="e">
        <f>VLOOKUP(F103,제품명!D:E,2,0)</f>
        <v>#N/A</v>
      </c>
      <c r="H103" s="6">
        <f>'Raw data'!K103</f>
        <v>0</v>
      </c>
      <c r="I103" s="13">
        <f>'Raw data'!H103</f>
        <v>0</v>
      </c>
      <c r="J103" s="4">
        <f t="shared" si="1"/>
        <v>0</v>
      </c>
    </row>
    <row r="104" spans="1:10" ht="12" customHeight="1">
      <c r="A104" s="6">
        <f>'Raw data'!O104</f>
        <v>0</v>
      </c>
      <c r="C104" s="8"/>
      <c r="D104" s="7" t="e">
        <f>VLOOKUP('Raw data'!P104,'점포코드 '!A:B,2,0)</f>
        <v>#N/A</v>
      </c>
      <c r="E104" s="18" t="e">
        <f>VLOOKUP(D104,'점포코드 '!B:C,2,0)</f>
        <v>#N/A</v>
      </c>
      <c r="F104" s="19" t="e">
        <f>VLOOKUP('Raw data'!F104,제품명!C:D,2,0)</f>
        <v>#N/A</v>
      </c>
      <c r="G104" s="39" t="e">
        <f>VLOOKUP(F104,제품명!D:E,2,0)</f>
        <v>#N/A</v>
      </c>
      <c r="H104" s="6">
        <f>'Raw data'!K104</f>
        <v>0</v>
      </c>
      <c r="I104" s="13">
        <f>'Raw data'!H104</f>
        <v>0</v>
      </c>
      <c r="J104" s="4">
        <f t="shared" si="1"/>
        <v>0</v>
      </c>
    </row>
    <row r="105" spans="1:10" ht="12" customHeight="1">
      <c r="A105" s="6">
        <f>'Raw data'!O105</f>
        <v>0</v>
      </c>
      <c r="C105" s="8"/>
      <c r="D105" s="7" t="e">
        <f>VLOOKUP('Raw data'!P105,'점포코드 '!A:B,2,0)</f>
        <v>#N/A</v>
      </c>
      <c r="E105" s="18" t="e">
        <f>VLOOKUP(D105,'점포코드 '!B:C,2,0)</f>
        <v>#N/A</v>
      </c>
      <c r="F105" s="19" t="e">
        <f>VLOOKUP('Raw data'!F105,제품명!C:D,2,0)</f>
        <v>#N/A</v>
      </c>
      <c r="G105" s="39" t="e">
        <f>VLOOKUP(F105,제품명!D:E,2,0)</f>
        <v>#N/A</v>
      </c>
      <c r="H105" s="6">
        <f>'Raw data'!K105</f>
        <v>0</v>
      </c>
      <c r="I105" s="13">
        <f>'Raw data'!H105</f>
        <v>0</v>
      </c>
      <c r="J105" s="4">
        <f t="shared" si="1"/>
        <v>0</v>
      </c>
    </row>
    <row r="106" spans="1:10" ht="12" customHeight="1">
      <c r="A106" s="6">
        <f>'Raw data'!O106</f>
        <v>0</v>
      </c>
      <c r="C106" s="8"/>
      <c r="D106" s="7" t="e">
        <f>VLOOKUP('Raw data'!P106,'점포코드 '!A:B,2,0)</f>
        <v>#N/A</v>
      </c>
      <c r="E106" s="18" t="e">
        <f>VLOOKUP(D106,'점포코드 '!B:C,2,0)</f>
        <v>#N/A</v>
      </c>
      <c r="F106" s="19" t="e">
        <f>VLOOKUP('Raw data'!F106,제품명!C:D,2,0)</f>
        <v>#N/A</v>
      </c>
      <c r="G106" s="39" t="e">
        <f>VLOOKUP(F106,제품명!D:E,2,0)</f>
        <v>#N/A</v>
      </c>
      <c r="H106" s="6">
        <f>'Raw data'!K106</f>
        <v>0</v>
      </c>
      <c r="I106" s="13">
        <f>'Raw data'!H106</f>
        <v>0</v>
      </c>
      <c r="J106" s="4">
        <f t="shared" si="1"/>
        <v>0</v>
      </c>
    </row>
    <row r="107" spans="1:10" ht="12" customHeight="1">
      <c r="A107" s="6">
        <f>'Raw data'!O107</f>
        <v>0</v>
      </c>
      <c r="C107" s="8"/>
      <c r="D107" s="7" t="e">
        <f>VLOOKUP('Raw data'!P107,'점포코드 '!A:B,2,0)</f>
        <v>#N/A</v>
      </c>
      <c r="E107" s="18" t="e">
        <f>VLOOKUP(D107,'점포코드 '!B:C,2,0)</f>
        <v>#N/A</v>
      </c>
      <c r="F107" s="19" t="e">
        <f>VLOOKUP('Raw data'!F107,제품명!C:D,2,0)</f>
        <v>#N/A</v>
      </c>
      <c r="G107" s="39" t="e">
        <f>VLOOKUP(F107,제품명!D:E,2,0)</f>
        <v>#N/A</v>
      </c>
      <c r="H107" s="6">
        <f>'Raw data'!K107</f>
        <v>0</v>
      </c>
      <c r="I107" s="13">
        <f>'Raw data'!H107</f>
        <v>0</v>
      </c>
      <c r="J107" s="4">
        <f t="shared" si="1"/>
        <v>0</v>
      </c>
    </row>
    <row r="108" spans="1:10" ht="12" customHeight="1">
      <c r="A108" s="6">
        <f>'Raw data'!O108</f>
        <v>0</v>
      </c>
      <c r="C108" s="8"/>
      <c r="D108" s="7" t="e">
        <f>VLOOKUP('Raw data'!P108,'점포코드 '!A:B,2,0)</f>
        <v>#N/A</v>
      </c>
      <c r="E108" s="18" t="e">
        <f>VLOOKUP(D108,'점포코드 '!B:C,2,0)</f>
        <v>#N/A</v>
      </c>
      <c r="F108" s="19" t="e">
        <f>VLOOKUP('Raw data'!F108,제품명!C:D,2,0)</f>
        <v>#N/A</v>
      </c>
      <c r="G108" s="39" t="e">
        <f>VLOOKUP(F108,제품명!D:E,2,0)</f>
        <v>#N/A</v>
      </c>
      <c r="H108" s="6">
        <f>'Raw data'!K108</f>
        <v>0</v>
      </c>
      <c r="I108" s="13">
        <f>'Raw data'!H108</f>
        <v>0</v>
      </c>
      <c r="J108" s="4">
        <f t="shared" si="1"/>
        <v>0</v>
      </c>
    </row>
    <row r="109" spans="1:10" ht="12" customHeight="1">
      <c r="A109" s="6">
        <f>'Raw data'!O109</f>
        <v>0</v>
      </c>
      <c r="C109" s="8"/>
      <c r="D109" s="7" t="e">
        <f>VLOOKUP('Raw data'!P109,'점포코드 '!A:B,2,0)</f>
        <v>#N/A</v>
      </c>
      <c r="E109" s="18" t="e">
        <f>VLOOKUP(D109,'점포코드 '!B:C,2,0)</f>
        <v>#N/A</v>
      </c>
      <c r="F109" s="19" t="e">
        <f>VLOOKUP('Raw data'!F109,제품명!C:D,2,0)</f>
        <v>#N/A</v>
      </c>
      <c r="G109" s="39" t="e">
        <f>VLOOKUP(F109,제품명!D:E,2,0)</f>
        <v>#N/A</v>
      </c>
      <c r="H109" s="6">
        <f>'Raw data'!K109</f>
        <v>0</v>
      </c>
      <c r="I109" s="13">
        <f>'Raw data'!H109</f>
        <v>0</v>
      </c>
      <c r="J109" s="4">
        <f t="shared" si="1"/>
        <v>0</v>
      </c>
    </row>
    <row r="110" spans="1:10" ht="12" customHeight="1">
      <c r="A110" s="6">
        <f>'Raw data'!O110</f>
        <v>0</v>
      </c>
      <c r="C110" s="8"/>
      <c r="D110" s="7" t="e">
        <f>VLOOKUP('Raw data'!P110,'점포코드 '!A:B,2,0)</f>
        <v>#N/A</v>
      </c>
      <c r="E110" s="18" t="e">
        <f>VLOOKUP(D110,'점포코드 '!B:C,2,0)</f>
        <v>#N/A</v>
      </c>
      <c r="F110" s="19" t="e">
        <f>VLOOKUP('Raw data'!F110,제품명!C:D,2,0)</f>
        <v>#N/A</v>
      </c>
      <c r="G110" s="39" t="e">
        <f>VLOOKUP(F110,제품명!D:E,2,0)</f>
        <v>#N/A</v>
      </c>
      <c r="H110" s="6">
        <f>'Raw data'!K110</f>
        <v>0</v>
      </c>
      <c r="I110" s="13">
        <f>'Raw data'!H110</f>
        <v>0</v>
      </c>
      <c r="J110" s="4">
        <f t="shared" si="1"/>
        <v>0</v>
      </c>
    </row>
    <row r="111" spans="1:10" ht="12" customHeight="1">
      <c r="A111" s="6">
        <f>'Raw data'!O111</f>
        <v>0</v>
      </c>
      <c r="C111" s="8"/>
      <c r="D111" s="7" t="e">
        <f>VLOOKUP('Raw data'!P111,'점포코드 '!A:B,2,0)</f>
        <v>#N/A</v>
      </c>
      <c r="E111" s="18" t="e">
        <f>VLOOKUP(D111,'점포코드 '!B:C,2,0)</f>
        <v>#N/A</v>
      </c>
      <c r="F111" s="19" t="e">
        <f>VLOOKUP('Raw data'!F111,제품명!C:D,2,0)</f>
        <v>#N/A</v>
      </c>
      <c r="G111" s="39" t="e">
        <f>VLOOKUP(F111,제품명!D:E,2,0)</f>
        <v>#N/A</v>
      </c>
      <c r="H111" s="6">
        <f>'Raw data'!K111</f>
        <v>0</v>
      </c>
      <c r="I111" s="13">
        <f>'Raw data'!H111</f>
        <v>0</v>
      </c>
      <c r="J111" s="4">
        <f t="shared" si="1"/>
        <v>0</v>
      </c>
    </row>
    <row r="112" spans="1:10" ht="12" customHeight="1">
      <c r="A112" s="6">
        <f>'Raw data'!O112</f>
        <v>0</v>
      </c>
      <c r="C112" s="8"/>
      <c r="D112" s="7" t="e">
        <f>VLOOKUP('Raw data'!P112,'점포코드 '!A:B,2,0)</f>
        <v>#N/A</v>
      </c>
      <c r="E112" s="18" t="e">
        <f>VLOOKUP(D112,'점포코드 '!B:C,2,0)</f>
        <v>#N/A</v>
      </c>
      <c r="F112" s="19" t="e">
        <f>VLOOKUP('Raw data'!F112,제품명!C:D,2,0)</f>
        <v>#N/A</v>
      </c>
      <c r="G112" s="39" t="e">
        <f>VLOOKUP(F112,제품명!D:E,2,0)</f>
        <v>#N/A</v>
      </c>
      <c r="H112" s="6">
        <f>'Raw data'!K112</f>
        <v>0</v>
      </c>
      <c r="I112" s="13">
        <f>'Raw data'!H112</f>
        <v>0</v>
      </c>
      <c r="J112" s="4">
        <f t="shared" si="1"/>
        <v>0</v>
      </c>
    </row>
    <row r="113" spans="1:10" ht="12" customHeight="1">
      <c r="A113" s="6">
        <f>'Raw data'!O113</f>
        <v>0</v>
      </c>
      <c r="C113" s="8"/>
      <c r="D113" s="7" t="e">
        <f>VLOOKUP('Raw data'!P113,'점포코드 '!A:B,2,0)</f>
        <v>#N/A</v>
      </c>
      <c r="E113" s="18" t="e">
        <f>VLOOKUP(D113,'점포코드 '!B:C,2,0)</f>
        <v>#N/A</v>
      </c>
      <c r="F113" s="19" t="e">
        <f>VLOOKUP('Raw data'!F113,제품명!C:D,2,0)</f>
        <v>#N/A</v>
      </c>
      <c r="G113" s="39" t="e">
        <f>VLOOKUP(F113,제품명!D:E,2,0)</f>
        <v>#N/A</v>
      </c>
      <c r="H113" s="6">
        <f>'Raw data'!K113</f>
        <v>0</v>
      </c>
      <c r="I113" s="13">
        <f>'Raw data'!H113</f>
        <v>0</v>
      </c>
      <c r="J113" s="4">
        <f t="shared" si="1"/>
        <v>0</v>
      </c>
    </row>
    <row r="114" spans="1:10" ht="12" customHeight="1">
      <c r="A114" s="6">
        <f>'Raw data'!O114</f>
        <v>0</v>
      </c>
      <c r="C114" s="8"/>
      <c r="D114" s="7" t="e">
        <f>VLOOKUP('Raw data'!P114,'점포코드 '!A:B,2,0)</f>
        <v>#N/A</v>
      </c>
      <c r="E114" s="18" t="e">
        <f>VLOOKUP(D114,'점포코드 '!B:C,2,0)</f>
        <v>#N/A</v>
      </c>
      <c r="F114" s="19" t="e">
        <f>VLOOKUP('Raw data'!F114,제품명!C:D,2,0)</f>
        <v>#N/A</v>
      </c>
      <c r="G114" s="39" t="e">
        <f>VLOOKUP(F114,제품명!D:E,2,0)</f>
        <v>#N/A</v>
      </c>
      <c r="H114" s="6">
        <f>'Raw data'!K114</f>
        <v>0</v>
      </c>
      <c r="I114" s="13">
        <f>'Raw data'!H114</f>
        <v>0</v>
      </c>
      <c r="J114" s="4">
        <f t="shared" si="1"/>
        <v>0</v>
      </c>
    </row>
    <row r="115" spans="1:10" ht="12" customHeight="1">
      <c r="A115" s="6">
        <f>'Raw data'!O115</f>
        <v>0</v>
      </c>
      <c r="C115" s="8"/>
      <c r="D115" s="7" t="e">
        <f>VLOOKUP('Raw data'!P115,'점포코드 '!A:B,2,0)</f>
        <v>#N/A</v>
      </c>
      <c r="E115" s="18" t="e">
        <f>VLOOKUP(D115,'점포코드 '!B:C,2,0)</f>
        <v>#N/A</v>
      </c>
      <c r="F115" s="19" t="e">
        <f>VLOOKUP('Raw data'!F115,제품명!C:D,2,0)</f>
        <v>#N/A</v>
      </c>
      <c r="G115" s="39" t="e">
        <f>VLOOKUP(F115,제품명!D:E,2,0)</f>
        <v>#N/A</v>
      </c>
      <c r="H115" s="6">
        <f>'Raw data'!K115</f>
        <v>0</v>
      </c>
      <c r="I115" s="13">
        <f>'Raw data'!H115</f>
        <v>0</v>
      </c>
      <c r="J115" s="4">
        <f t="shared" si="1"/>
        <v>0</v>
      </c>
    </row>
    <row r="116" spans="1:10" ht="12" customHeight="1">
      <c r="A116" s="6">
        <f>'Raw data'!O116</f>
        <v>0</v>
      </c>
      <c r="C116" s="8"/>
      <c r="D116" s="7" t="e">
        <f>VLOOKUP('Raw data'!P116,'점포코드 '!A:B,2,0)</f>
        <v>#N/A</v>
      </c>
      <c r="E116" s="18" t="e">
        <f>VLOOKUP(D116,'점포코드 '!B:C,2,0)</f>
        <v>#N/A</v>
      </c>
      <c r="F116" s="19" t="e">
        <f>VLOOKUP('Raw data'!F116,제품명!C:D,2,0)</f>
        <v>#N/A</v>
      </c>
      <c r="G116" s="39" t="e">
        <f>VLOOKUP(F116,제품명!D:E,2,0)</f>
        <v>#N/A</v>
      </c>
      <c r="H116" s="6">
        <f>'Raw data'!K116</f>
        <v>0</v>
      </c>
      <c r="I116" s="13">
        <f>'Raw data'!H116</f>
        <v>0</v>
      </c>
      <c r="J116" s="4">
        <f t="shared" si="1"/>
        <v>0</v>
      </c>
    </row>
    <row r="117" spans="1:10" ht="12" customHeight="1">
      <c r="A117" s="6">
        <f>'Raw data'!O117</f>
        <v>0</v>
      </c>
      <c r="C117" s="8"/>
      <c r="D117" s="7" t="e">
        <f>VLOOKUP('Raw data'!P117,'점포코드 '!A:B,2,0)</f>
        <v>#N/A</v>
      </c>
      <c r="E117" s="18" t="e">
        <f>VLOOKUP(D117,'점포코드 '!B:C,2,0)</f>
        <v>#N/A</v>
      </c>
      <c r="F117" s="19" t="e">
        <f>VLOOKUP('Raw data'!F117,제품명!C:D,2,0)</f>
        <v>#N/A</v>
      </c>
      <c r="G117" s="39" t="e">
        <f>VLOOKUP(F117,제품명!D:E,2,0)</f>
        <v>#N/A</v>
      </c>
      <c r="H117" s="6">
        <f>'Raw data'!K117</f>
        <v>0</v>
      </c>
      <c r="I117" s="13">
        <f>'Raw data'!H117</f>
        <v>0</v>
      </c>
      <c r="J117" s="4">
        <f t="shared" si="1"/>
        <v>0</v>
      </c>
    </row>
    <row r="118" spans="1:10" ht="12" customHeight="1">
      <c r="A118" s="6">
        <f>'Raw data'!O118</f>
        <v>0</v>
      </c>
      <c r="C118" s="8"/>
      <c r="D118" s="7" t="e">
        <f>VLOOKUP('Raw data'!P118,'점포코드 '!A:B,2,0)</f>
        <v>#N/A</v>
      </c>
      <c r="E118" s="18" t="e">
        <f>VLOOKUP(D118,'점포코드 '!B:C,2,0)</f>
        <v>#N/A</v>
      </c>
      <c r="F118" s="19" t="e">
        <f>VLOOKUP('Raw data'!F118,제품명!C:D,2,0)</f>
        <v>#N/A</v>
      </c>
      <c r="G118" s="39" t="e">
        <f>VLOOKUP(F118,제품명!D:E,2,0)</f>
        <v>#N/A</v>
      </c>
      <c r="H118" s="6">
        <f>'Raw data'!K118</f>
        <v>0</v>
      </c>
      <c r="I118" s="13">
        <f>'Raw data'!H118</f>
        <v>0</v>
      </c>
      <c r="J118" s="4">
        <f t="shared" si="1"/>
        <v>0</v>
      </c>
    </row>
    <row r="119" spans="1:10" ht="12" customHeight="1">
      <c r="A119" s="6">
        <f>'Raw data'!O119</f>
        <v>0</v>
      </c>
      <c r="C119" s="8"/>
      <c r="D119" s="7" t="e">
        <f>VLOOKUP('Raw data'!P119,'점포코드 '!A:B,2,0)</f>
        <v>#N/A</v>
      </c>
      <c r="E119" s="18" t="e">
        <f>VLOOKUP(D119,'점포코드 '!B:C,2,0)</f>
        <v>#N/A</v>
      </c>
      <c r="F119" s="19" t="e">
        <f>VLOOKUP('Raw data'!F119,제품명!C:D,2,0)</f>
        <v>#N/A</v>
      </c>
      <c r="G119" s="39" t="e">
        <f>VLOOKUP(F119,제품명!D:E,2,0)</f>
        <v>#N/A</v>
      </c>
      <c r="H119" s="6">
        <f>'Raw data'!K119</f>
        <v>0</v>
      </c>
      <c r="I119" s="13">
        <f>'Raw data'!H119</f>
        <v>0</v>
      </c>
      <c r="J119" s="4">
        <f t="shared" si="1"/>
        <v>0</v>
      </c>
    </row>
    <row r="120" spans="1:10" ht="12" customHeight="1">
      <c r="A120" s="6">
        <f>'Raw data'!O120</f>
        <v>0</v>
      </c>
      <c r="C120" s="8"/>
      <c r="D120" s="7" t="e">
        <f>VLOOKUP('Raw data'!P120,'점포코드 '!A:B,2,0)</f>
        <v>#N/A</v>
      </c>
      <c r="E120" s="18" t="e">
        <f>VLOOKUP(D120,'점포코드 '!B:C,2,0)</f>
        <v>#N/A</v>
      </c>
      <c r="F120" s="19" t="e">
        <f>VLOOKUP('Raw data'!F120,제품명!C:D,2,0)</f>
        <v>#N/A</v>
      </c>
      <c r="G120" s="39" t="e">
        <f>VLOOKUP(F120,제품명!D:E,2,0)</f>
        <v>#N/A</v>
      </c>
      <c r="H120" s="6">
        <f>'Raw data'!K120</f>
        <v>0</v>
      </c>
      <c r="I120" s="13">
        <f>'Raw data'!H120</f>
        <v>0</v>
      </c>
      <c r="J120" s="4">
        <f t="shared" si="1"/>
        <v>0</v>
      </c>
    </row>
    <row r="121" spans="1:10" ht="12" customHeight="1">
      <c r="A121" s="6">
        <f>'Raw data'!O121</f>
        <v>0</v>
      </c>
      <c r="C121" s="8"/>
      <c r="D121" s="7" t="e">
        <f>VLOOKUP('Raw data'!P121,'점포코드 '!A:B,2,0)</f>
        <v>#N/A</v>
      </c>
      <c r="E121" s="18" t="e">
        <f>VLOOKUP(D121,'점포코드 '!B:C,2,0)</f>
        <v>#N/A</v>
      </c>
      <c r="F121" s="19" t="e">
        <f>VLOOKUP('Raw data'!F121,제품명!C:D,2,0)</f>
        <v>#N/A</v>
      </c>
      <c r="G121" s="39" t="e">
        <f>VLOOKUP(F121,제품명!D:E,2,0)</f>
        <v>#N/A</v>
      </c>
      <c r="H121" s="6">
        <f>'Raw data'!K121</f>
        <v>0</v>
      </c>
      <c r="I121" s="13">
        <f>'Raw data'!H121</f>
        <v>0</v>
      </c>
      <c r="J121" s="4">
        <f t="shared" si="1"/>
        <v>0</v>
      </c>
    </row>
    <row r="122" spans="1:10" ht="12" customHeight="1">
      <c r="A122" s="6">
        <f>'Raw data'!O122</f>
        <v>0</v>
      </c>
      <c r="C122" s="8"/>
      <c r="D122" s="7" t="e">
        <f>VLOOKUP('Raw data'!P122,'점포코드 '!A:B,2,0)</f>
        <v>#N/A</v>
      </c>
      <c r="E122" s="18" t="e">
        <f>VLOOKUP(D122,'점포코드 '!B:C,2,0)</f>
        <v>#N/A</v>
      </c>
      <c r="F122" s="19" t="e">
        <f>VLOOKUP('Raw data'!F122,제품명!C:D,2,0)</f>
        <v>#N/A</v>
      </c>
      <c r="G122" s="39" t="e">
        <f>VLOOKUP(F122,제품명!D:E,2,0)</f>
        <v>#N/A</v>
      </c>
      <c r="H122" s="6">
        <f>'Raw data'!K122</f>
        <v>0</v>
      </c>
      <c r="I122" s="13">
        <f>'Raw data'!H122</f>
        <v>0</v>
      </c>
      <c r="J122" s="4">
        <f t="shared" si="1"/>
        <v>0</v>
      </c>
    </row>
    <row r="123" spans="1:10" ht="12" customHeight="1">
      <c r="A123" s="6">
        <f>'Raw data'!O123</f>
        <v>0</v>
      </c>
      <c r="C123" s="8"/>
      <c r="D123" s="7" t="e">
        <f>VLOOKUP('Raw data'!P123,'점포코드 '!A:B,2,0)</f>
        <v>#N/A</v>
      </c>
      <c r="E123" s="18" t="e">
        <f>VLOOKUP(D123,'점포코드 '!B:C,2,0)</f>
        <v>#N/A</v>
      </c>
      <c r="F123" s="19" t="e">
        <f>VLOOKUP('Raw data'!F123,제품명!C:D,2,0)</f>
        <v>#N/A</v>
      </c>
      <c r="G123" s="39" t="e">
        <f>VLOOKUP(F123,제품명!D:E,2,0)</f>
        <v>#N/A</v>
      </c>
      <c r="H123" s="6">
        <f>'Raw data'!K123</f>
        <v>0</v>
      </c>
      <c r="I123" s="13">
        <f>'Raw data'!H123</f>
        <v>0</v>
      </c>
      <c r="J123" s="4">
        <f t="shared" si="1"/>
        <v>0</v>
      </c>
    </row>
    <row r="124" spans="1:10" ht="12" customHeight="1">
      <c r="A124" s="6">
        <f>'Raw data'!O124</f>
        <v>0</v>
      </c>
      <c r="C124" s="8"/>
      <c r="D124" s="7" t="e">
        <f>VLOOKUP('Raw data'!P124,'점포코드 '!A:B,2,0)</f>
        <v>#N/A</v>
      </c>
      <c r="E124" s="18" t="e">
        <f>VLOOKUP(D124,'점포코드 '!B:C,2,0)</f>
        <v>#N/A</v>
      </c>
      <c r="F124" s="19" t="e">
        <f>VLOOKUP('Raw data'!F124,제품명!C:D,2,0)</f>
        <v>#N/A</v>
      </c>
      <c r="G124" s="39" t="e">
        <f>VLOOKUP(F124,제품명!D:E,2,0)</f>
        <v>#N/A</v>
      </c>
      <c r="H124" s="6">
        <f>'Raw data'!K124</f>
        <v>0</v>
      </c>
      <c r="I124" s="13">
        <f>'Raw data'!H124</f>
        <v>0</v>
      </c>
      <c r="J124" s="4">
        <f t="shared" si="1"/>
        <v>0</v>
      </c>
    </row>
    <row r="125" spans="1:10" ht="12" customHeight="1">
      <c r="A125" s="6">
        <f>'Raw data'!O125</f>
        <v>0</v>
      </c>
      <c r="C125" s="8"/>
      <c r="D125" s="7" t="e">
        <f>VLOOKUP('Raw data'!P125,'점포코드 '!A:B,2,0)</f>
        <v>#N/A</v>
      </c>
      <c r="E125" s="18" t="e">
        <f>VLOOKUP(D125,'점포코드 '!B:C,2,0)</f>
        <v>#N/A</v>
      </c>
      <c r="F125" s="19" t="e">
        <f>VLOOKUP('Raw data'!F125,제품명!C:D,2,0)</f>
        <v>#N/A</v>
      </c>
      <c r="G125" s="39" t="e">
        <f>VLOOKUP(F125,제품명!D:E,2,0)</f>
        <v>#N/A</v>
      </c>
      <c r="H125" s="6">
        <f>'Raw data'!K125</f>
        <v>0</v>
      </c>
      <c r="I125" s="13">
        <f>'Raw data'!H125</f>
        <v>0</v>
      </c>
      <c r="J125" s="4">
        <f t="shared" si="1"/>
        <v>0</v>
      </c>
    </row>
    <row r="126" spans="1:10" ht="12" customHeight="1">
      <c r="A126" s="6">
        <f>'Raw data'!O126</f>
        <v>0</v>
      </c>
      <c r="C126" s="8"/>
      <c r="D126" s="7" t="e">
        <f>VLOOKUP('Raw data'!P126,'점포코드 '!A:B,2,0)</f>
        <v>#N/A</v>
      </c>
      <c r="E126" s="18" t="e">
        <f>VLOOKUP(D126,'점포코드 '!B:C,2,0)</f>
        <v>#N/A</v>
      </c>
      <c r="F126" s="19" t="e">
        <f>VLOOKUP('Raw data'!F126,제품명!C:D,2,0)</f>
        <v>#N/A</v>
      </c>
      <c r="G126" s="39" t="e">
        <f>VLOOKUP(F126,제품명!D:E,2,0)</f>
        <v>#N/A</v>
      </c>
      <c r="H126" s="6">
        <f>'Raw data'!K126</f>
        <v>0</v>
      </c>
      <c r="I126" s="13">
        <f>'Raw data'!H126</f>
        <v>0</v>
      </c>
      <c r="J126" s="4">
        <f t="shared" si="1"/>
        <v>0</v>
      </c>
    </row>
    <row r="127" spans="1:10" ht="12" customHeight="1">
      <c r="A127" s="6">
        <f>'Raw data'!O127</f>
        <v>0</v>
      </c>
      <c r="C127" s="8"/>
      <c r="D127" s="7" t="e">
        <f>VLOOKUP('Raw data'!P127,'점포코드 '!A:B,2,0)</f>
        <v>#N/A</v>
      </c>
      <c r="E127" s="18" t="e">
        <f>VLOOKUP(D127,'점포코드 '!B:C,2,0)</f>
        <v>#N/A</v>
      </c>
      <c r="F127" s="19" t="e">
        <f>VLOOKUP('Raw data'!F127,제품명!C:D,2,0)</f>
        <v>#N/A</v>
      </c>
      <c r="G127" s="39" t="e">
        <f>VLOOKUP(F127,제품명!D:E,2,0)</f>
        <v>#N/A</v>
      </c>
      <c r="H127" s="6">
        <f>'Raw data'!K127</f>
        <v>0</v>
      </c>
      <c r="I127" s="13">
        <f>'Raw data'!H127</f>
        <v>0</v>
      </c>
      <c r="J127" s="4">
        <f t="shared" si="1"/>
        <v>0</v>
      </c>
    </row>
    <row r="128" spans="1:10" ht="12" customHeight="1">
      <c r="A128" s="6">
        <f>'Raw data'!O128</f>
        <v>0</v>
      </c>
      <c r="C128" s="8"/>
      <c r="D128" s="7" t="e">
        <f>VLOOKUP('Raw data'!P128,'점포코드 '!A:B,2,0)</f>
        <v>#N/A</v>
      </c>
      <c r="E128" s="18" t="e">
        <f>VLOOKUP(D128,'점포코드 '!B:C,2,0)</f>
        <v>#N/A</v>
      </c>
      <c r="F128" s="19" t="e">
        <f>VLOOKUP('Raw data'!F128,제품명!C:D,2,0)</f>
        <v>#N/A</v>
      </c>
      <c r="G128" s="39" t="e">
        <f>VLOOKUP(F128,제품명!D:E,2,0)</f>
        <v>#N/A</v>
      </c>
      <c r="H128" s="6">
        <f>'Raw data'!K128</f>
        <v>0</v>
      </c>
      <c r="I128" s="13">
        <f>'Raw data'!H128</f>
        <v>0</v>
      </c>
      <c r="J128" s="4">
        <f t="shared" si="1"/>
        <v>0</v>
      </c>
    </row>
    <row r="129" spans="1:10" ht="12" customHeight="1">
      <c r="A129" s="6">
        <f>'Raw data'!O129</f>
        <v>0</v>
      </c>
      <c r="C129" s="8"/>
      <c r="D129" s="7" t="e">
        <f>VLOOKUP('Raw data'!P129,'점포코드 '!A:B,2,0)</f>
        <v>#N/A</v>
      </c>
      <c r="E129" s="18" t="e">
        <f>VLOOKUP(D129,'점포코드 '!B:C,2,0)</f>
        <v>#N/A</v>
      </c>
      <c r="F129" s="19" t="e">
        <f>VLOOKUP('Raw data'!F129,제품명!C:D,2,0)</f>
        <v>#N/A</v>
      </c>
      <c r="G129" s="39" t="e">
        <f>VLOOKUP(F129,제품명!D:E,2,0)</f>
        <v>#N/A</v>
      </c>
      <c r="H129" s="6">
        <f>'Raw data'!K129</f>
        <v>0</v>
      </c>
      <c r="I129" s="13">
        <f>'Raw data'!H129</f>
        <v>0</v>
      </c>
      <c r="J129" s="4">
        <f t="shared" si="1"/>
        <v>0</v>
      </c>
    </row>
    <row r="130" spans="1:10" ht="12" customHeight="1">
      <c r="A130" s="6">
        <f>'Raw data'!O130</f>
        <v>0</v>
      </c>
      <c r="C130" s="9"/>
      <c r="D130" s="7" t="e">
        <f>VLOOKUP('Raw data'!P130,'점포코드 '!A:B,2,0)</f>
        <v>#N/A</v>
      </c>
      <c r="E130" s="18" t="e">
        <f>VLOOKUP(D130,'점포코드 '!B:C,2,0)</f>
        <v>#N/A</v>
      </c>
      <c r="F130" s="19" t="e">
        <f>VLOOKUP('Raw data'!F130,제품명!C:D,2,0)</f>
        <v>#N/A</v>
      </c>
      <c r="G130" s="39" t="e">
        <f>VLOOKUP(F130,제품명!D:E,2,0)</f>
        <v>#N/A</v>
      </c>
      <c r="H130" s="6">
        <f>'Raw data'!K130</f>
        <v>0</v>
      </c>
      <c r="I130" s="13">
        <f>'Raw data'!H130</f>
        <v>0</v>
      </c>
      <c r="J130" s="4">
        <f t="shared" ref="J130:J193" si="2">H130*I130</f>
        <v>0</v>
      </c>
    </row>
    <row r="131" spans="1:10" ht="12" customHeight="1">
      <c r="A131" s="6">
        <f>'Raw data'!O131</f>
        <v>0</v>
      </c>
      <c r="C131" s="9"/>
      <c r="D131" s="7" t="e">
        <f>VLOOKUP('Raw data'!P131,'점포코드 '!A:B,2,0)</f>
        <v>#N/A</v>
      </c>
      <c r="E131" s="18" t="e">
        <f>VLOOKUP(D131,'점포코드 '!B:C,2,0)</f>
        <v>#N/A</v>
      </c>
      <c r="F131" s="19" t="e">
        <f>VLOOKUP('Raw data'!F131,제품명!C:D,2,0)</f>
        <v>#N/A</v>
      </c>
      <c r="G131" s="39" t="e">
        <f>VLOOKUP(F131,제품명!D:E,2,0)</f>
        <v>#N/A</v>
      </c>
      <c r="H131" s="6">
        <f>'Raw data'!K131</f>
        <v>0</v>
      </c>
      <c r="I131" s="13">
        <f>'Raw data'!H131</f>
        <v>0</v>
      </c>
      <c r="J131" s="4">
        <f t="shared" si="2"/>
        <v>0</v>
      </c>
    </row>
    <row r="132" spans="1:10" ht="12" customHeight="1">
      <c r="A132" s="6">
        <f>'Raw data'!O132</f>
        <v>0</v>
      </c>
      <c r="C132" s="9"/>
      <c r="D132" s="7" t="e">
        <f>VLOOKUP('Raw data'!P132,'점포코드 '!A:B,2,0)</f>
        <v>#N/A</v>
      </c>
      <c r="E132" s="18" t="e">
        <f>VLOOKUP(D132,'점포코드 '!B:C,2,0)</f>
        <v>#N/A</v>
      </c>
      <c r="F132" s="19" t="e">
        <f>VLOOKUP('Raw data'!F132,제품명!C:D,2,0)</f>
        <v>#N/A</v>
      </c>
      <c r="G132" s="39" t="e">
        <f>VLOOKUP(F132,제품명!D:E,2,0)</f>
        <v>#N/A</v>
      </c>
      <c r="H132" s="6">
        <f>'Raw data'!K132</f>
        <v>0</v>
      </c>
      <c r="I132" s="13">
        <f>'Raw data'!H132</f>
        <v>0</v>
      </c>
      <c r="J132" s="4">
        <f t="shared" si="2"/>
        <v>0</v>
      </c>
    </row>
    <row r="133" spans="1:10" ht="12" customHeight="1">
      <c r="A133" s="6">
        <f>'Raw data'!O133</f>
        <v>0</v>
      </c>
      <c r="C133" s="9"/>
      <c r="D133" s="7" t="e">
        <f>VLOOKUP('Raw data'!P133,'점포코드 '!A:B,2,0)</f>
        <v>#N/A</v>
      </c>
      <c r="E133" s="18" t="e">
        <f>VLOOKUP(D133,'점포코드 '!B:C,2,0)</f>
        <v>#N/A</v>
      </c>
      <c r="F133" s="19" t="e">
        <f>VLOOKUP('Raw data'!F133,제품명!C:D,2,0)</f>
        <v>#N/A</v>
      </c>
      <c r="G133" s="39" t="e">
        <f>VLOOKUP(F133,제품명!D:E,2,0)</f>
        <v>#N/A</v>
      </c>
      <c r="H133" s="6">
        <f>'Raw data'!K133</f>
        <v>0</v>
      </c>
      <c r="I133" s="13">
        <f>'Raw data'!H133</f>
        <v>0</v>
      </c>
      <c r="J133" s="4">
        <f t="shared" si="2"/>
        <v>0</v>
      </c>
    </row>
    <row r="134" spans="1:10" ht="12" customHeight="1">
      <c r="A134" s="6">
        <f>'Raw data'!O134</f>
        <v>0</v>
      </c>
      <c r="C134" s="9"/>
      <c r="D134" s="7" t="e">
        <f>VLOOKUP('Raw data'!P134,'점포코드 '!A:B,2,0)</f>
        <v>#N/A</v>
      </c>
      <c r="E134" s="18" t="e">
        <f>VLOOKUP(D134,'점포코드 '!B:C,2,0)</f>
        <v>#N/A</v>
      </c>
      <c r="F134" s="19" t="e">
        <f>VLOOKUP('Raw data'!F134,제품명!C:D,2,0)</f>
        <v>#N/A</v>
      </c>
      <c r="G134" s="39" t="e">
        <f>VLOOKUP(F134,제품명!D:E,2,0)</f>
        <v>#N/A</v>
      </c>
      <c r="H134" s="6">
        <f>'Raw data'!K134</f>
        <v>0</v>
      </c>
      <c r="I134" s="13">
        <f>'Raw data'!H134</f>
        <v>0</v>
      </c>
      <c r="J134" s="4">
        <f t="shared" si="2"/>
        <v>0</v>
      </c>
    </row>
    <row r="135" spans="1:10" ht="12" customHeight="1">
      <c r="A135" s="6">
        <f>'Raw data'!O135</f>
        <v>0</v>
      </c>
      <c r="C135" s="9"/>
      <c r="D135" s="7" t="e">
        <f>VLOOKUP('Raw data'!P135,'점포코드 '!A:B,2,0)</f>
        <v>#N/A</v>
      </c>
      <c r="E135" s="18" t="e">
        <f>VLOOKUP(D135,'점포코드 '!B:C,2,0)</f>
        <v>#N/A</v>
      </c>
      <c r="F135" s="19" t="e">
        <f>VLOOKUP('Raw data'!F135,제품명!C:D,2,0)</f>
        <v>#N/A</v>
      </c>
      <c r="G135" s="39" t="e">
        <f>VLOOKUP(F135,제품명!D:E,2,0)</f>
        <v>#N/A</v>
      </c>
      <c r="H135" s="6">
        <f>'Raw data'!K135</f>
        <v>0</v>
      </c>
      <c r="I135" s="13">
        <f>'Raw data'!H135</f>
        <v>0</v>
      </c>
      <c r="J135" s="4">
        <f t="shared" si="2"/>
        <v>0</v>
      </c>
    </row>
    <row r="136" spans="1:10" ht="12" customHeight="1">
      <c r="A136" s="6">
        <f>'Raw data'!O136</f>
        <v>0</v>
      </c>
      <c r="C136" s="9"/>
      <c r="D136" s="7" t="e">
        <f>VLOOKUP('Raw data'!P136,'점포코드 '!A:B,2,0)</f>
        <v>#N/A</v>
      </c>
      <c r="E136" s="18" t="e">
        <f>VLOOKUP(D136,'점포코드 '!B:C,2,0)</f>
        <v>#N/A</v>
      </c>
      <c r="F136" s="19" t="e">
        <f>VLOOKUP('Raw data'!F136,제품명!C:D,2,0)</f>
        <v>#N/A</v>
      </c>
      <c r="G136" s="39" t="e">
        <f>VLOOKUP(F136,제품명!D:E,2,0)</f>
        <v>#N/A</v>
      </c>
      <c r="H136" s="6">
        <f>'Raw data'!K136</f>
        <v>0</v>
      </c>
      <c r="I136" s="13">
        <f>'Raw data'!H136</f>
        <v>0</v>
      </c>
      <c r="J136" s="4">
        <f t="shared" si="2"/>
        <v>0</v>
      </c>
    </row>
    <row r="137" spans="1:10" ht="12" customHeight="1">
      <c r="A137" s="6">
        <f>'Raw data'!O137</f>
        <v>0</v>
      </c>
      <c r="C137" s="9"/>
      <c r="D137" s="7" t="e">
        <f>VLOOKUP('Raw data'!P137,'점포코드 '!A:B,2,0)</f>
        <v>#N/A</v>
      </c>
      <c r="E137" s="18" t="e">
        <f>VLOOKUP(D137,'점포코드 '!B:C,2,0)</f>
        <v>#N/A</v>
      </c>
      <c r="F137" s="19" t="e">
        <f>VLOOKUP('Raw data'!F137,제품명!C:D,2,0)</f>
        <v>#N/A</v>
      </c>
      <c r="G137" s="39" t="e">
        <f>VLOOKUP(F137,제품명!D:E,2,0)</f>
        <v>#N/A</v>
      </c>
      <c r="H137" s="6">
        <f>'Raw data'!K137</f>
        <v>0</v>
      </c>
      <c r="I137" s="13">
        <f>'Raw data'!H137</f>
        <v>0</v>
      </c>
      <c r="J137" s="4">
        <f t="shared" si="2"/>
        <v>0</v>
      </c>
    </row>
    <row r="138" spans="1:10" ht="12" customHeight="1">
      <c r="A138" s="6">
        <f>'Raw data'!O138</f>
        <v>0</v>
      </c>
      <c r="C138" s="9"/>
      <c r="D138" s="7" t="e">
        <f>VLOOKUP('Raw data'!P138,'점포코드 '!A:B,2,0)</f>
        <v>#N/A</v>
      </c>
      <c r="E138" s="18" t="e">
        <f>VLOOKUP(D138,'점포코드 '!B:C,2,0)</f>
        <v>#N/A</v>
      </c>
      <c r="F138" s="19" t="e">
        <f>VLOOKUP('Raw data'!F138,제품명!C:D,2,0)</f>
        <v>#N/A</v>
      </c>
      <c r="G138" s="39" t="e">
        <f>VLOOKUP(F138,제품명!D:E,2,0)</f>
        <v>#N/A</v>
      </c>
      <c r="H138" s="6">
        <f>'Raw data'!K138</f>
        <v>0</v>
      </c>
      <c r="I138" s="13">
        <f>'Raw data'!H138</f>
        <v>0</v>
      </c>
      <c r="J138" s="4">
        <f t="shared" si="2"/>
        <v>0</v>
      </c>
    </row>
    <row r="139" spans="1:10" ht="12" customHeight="1">
      <c r="A139" s="6">
        <f>'Raw data'!O139</f>
        <v>0</v>
      </c>
      <c r="C139" s="9"/>
      <c r="D139" s="7" t="e">
        <f>VLOOKUP('Raw data'!P139,'점포코드 '!A:B,2,0)</f>
        <v>#N/A</v>
      </c>
      <c r="E139" s="18" t="e">
        <f>VLOOKUP(D139,'점포코드 '!B:C,2,0)</f>
        <v>#N/A</v>
      </c>
      <c r="F139" s="19" t="e">
        <f>VLOOKUP('Raw data'!F139,제품명!C:D,2,0)</f>
        <v>#N/A</v>
      </c>
      <c r="G139" s="39" t="e">
        <f>VLOOKUP(F139,제품명!D:E,2,0)</f>
        <v>#N/A</v>
      </c>
      <c r="H139" s="6">
        <f>'Raw data'!K139</f>
        <v>0</v>
      </c>
      <c r="I139" s="13">
        <f>'Raw data'!H139</f>
        <v>0</v>
      </c>
      <c r="J139" s="4">
        <f t="shared" si="2"/>
        <v>0</v>
      </c>
    </row>
    <row r="140" spans="1:10" ht="12" customHeight="1">
      <c r="A140" s="6">
        <f>'Raw data'!O140</f>
        <v>0</v>
      </c>
      <c r="C140" s="9"/>
      <c r="D140" s="7" t="e">
        <f>VLOOKUP('Raw data'!P140,'점포코드 '!A:B,2,0)</f>
        <v>#N/A</v>
      </c>
      <c r="E140" s="18" t="e">
        <f>VLOOKUP(D140,'점포코드 '!B:C,2,0)</f>
        <v>#N/A</v>
      </c>
      <c r="F140" s="19" t="e">
        <f>VLOOKUP('Raw data'!F140,제품명!C:D,2,0)</f>
        <v>#N/A</v>
      </c>
      <c r="G140" s="39" t="e">
        <f>VLOOKUP(F140,제품명!D:E,2,0)</f>
        <v>#N/A</v>
      </c>
      <c r="H140" s="6">
        <f>'Raw data'!K140</f>
        <v>0</v>
      </c>
      <c r="I140" s="13">
        <f>'Raw data'!H140</f>
        <v>0</v>
      </c>
      <c r="J140" s="4">
        <f t="shared" si="2"/>
        <v>0</v>
      </c>
    </row>
    <row r="141" spans="1:10" ht="12" customHeight="1">
      <c r="A141" s="6">
        <f>'Raw data'!O141</f>
        <v>0</v>
      </c>
      <c r="C141" s="9"/>
      <c r="D141" s="7" t="e">
        <f>VLOOKUP('Raw data'!P141,'점포코드 '!A:B,2,0)</f>
        <v>#N/A</v>
      </c>
      <c r="E141" s="18" t="e">
        <f>VLOOKUP(D141,'점포코드 '!B:C,2,0)</f>
        <v>#N/A</v>
      </c>
      <c r="F141" s="19" t="e">
        <f>VLOOKUP('Raw data'!F141,제품명!C:D,2,0)</f>
        <v>#N/A</v>
      </c>
      <c r="G141" s="39" t="e">
        <f>VLOOKUP(F141,제품명!D:E,2,0)</f>
        <v>#N/A</v>
      </c>
      <c r="H141" s="6">
        <f>'Raw data'!K141</f>
        <v>0</v>
      </c>
      <c r="I141" s="13">
        <f>'Raw data'!H141</f>
        <v>0</v>
      </c>
      <c r="J141" s="4">
        <f t="shared" si="2"/>
        <v>0</v>
      </c>
    </row>
    <row r="142" spans="1:10" ht="12" customHeight="1">
      <c r="A142" s="6">
        <f>'Raw data'!O142</f>
        <v>0</v>
      </c>
      <c r="C142" s="9"/>
      <c r="D142" s="7" t="e">
        <f>VLOOKUP('Raw data'!P142,'점포코드 '!A:B,2,0)</f>
        <v>#N/A</v>
      </c>
      <c r="E142" s="18" t="e">
        <f>VLOOKUP(D142,'점포코드 '!B:C,2,0)</f>
        <v>#N/A</v>
      </c>
      <c r="F142" s="19" t="e">
        <f>VLOOKUP('Raw data'!F142,제품명!C:D,2,0)</f>
        <v>#N/A</v>
      </c>
      <c r="G142" s="39" t="e">
        <f>VLOOKUP(F142,제품명!D:E,2,0)</f>
        <v>#N/A</v>
      </c>
      <c r="H142" s="6">
        <f>'Raw data'!K142</f>
        <v>0</v>
      </c>
      <c r="I142" s="13">
        <f>'Raw data'!H142</f>
        <v>0</v>
      </c>
      <c r="J142" s="4">
        <f t="shared" si="2"/>
        <v>0</v>
      </c>
    </row>
    <row r="143" spans="1:10" ht="12" customHeight="1">
      <c r="A143" s="6">
        <f>'Raw data'!O143</f>
        <v>0</v>
      </c>
      <c r="C143" s="9"/>
      <c r="D143" s="7" t="e">
        <f>VLOOKUP('Raw data'!P143,'점포코드 '!A:B,2,0)</f>
        <v>#N/A</v>
      </c>
      <c r="E143" s="18" t="e">
        <f>VLOOKUP(D143,'점포코드 '!B:C,2,0)</f>
        <v>#N/A</v>
      </c>
      <c r="F143" s="19" t="e">
        <f>VLOOKUP('Raw data'!F143,제품명!C:D,2,0)</f>
        <v>#N/A</v>
      </c>
      <c r="G143" s="39" t="e">
        <f>VLOOKUP(F143,제품명!D:E,2,0)</f>
        <v>#N/A</v>
      </c>
      <c r="H143" s="6">
        <f>'Raw data'!K143</f>
        <v>0</v>
      </c>
      <c r="I143" s="13">
        <f>'Raw data'!H143</f>
        <v>0</v>
      </c>
      <c r="J143" s="4">
        <f t="shared" si="2"/>
        <v>0</v>
      </c>
    </row>
    <row r="144" spans="1:10" ht="12" customHeight="1">
      <c r="A144" s="6">
        <f>'Raw data'!O144</f>
        <v>0</v>
      </c>
      <c r="C144" s="9"/>
      <c r="D144" s="7" t="e">
        <f>VLOOKUP('Raw data'!P144,'점포코드 '!A:B,2,0)</f>
        <v>#N/A</v>
      </c>
      <c r="E144" s="18" t="e">
        <f>VLOOKUP(D144,'점포코드 '!B:C,2,0)</f>
        <v>#N/A</v>
      </c>
      <c r="F144" s="19" t="e">
        <f>VLOOKUP('Raw data'!F144,제품명!C:D,2,0)</f>
        <v>#N/A</v>
      </c>
      <c r="G144" s="39" t="e">
        <f>VLOOKUP(F144,제품명!D:E,2,0)</f>
        <v>#N/A</v>
      </c>
      <c r="H144" s="6">
        <f>'Raw data'!K144</f>
        <v>0</v>
      </c>
      <c r="I144" s="13">
        <f>'Raw data'!H144</f>
        <v>0</v>
      </c>
      <c r="J144" s="4">
        <f t="shared" si="2"/>
        <v>0</v>
      </c>
    </row>
    <row r="145" spans="1:10" ht="12" customHeight="1">
      <c r="A145" s="6">
        <f>'Raw data'!O145</f>
        <v>0</v>
      </c>
      <c r="C145" s="9"/>
      <c r="D145" s="7" t="e">
        <f>VLOOKUP('Raw data'!P145,'점포코드 '!A:B,2,0)</f>
        <v>#N/A</v>
      </c>
      <c r="E145" s="18" t="e">
        <f>VLOOKUP(D145,'점포코드 '!B:C,2,0)</f>
        <v>#N/A</v>
      </c>
      <c r="F145" s="19" t="e">
        <f>VLOOKUP('Raw data'!F145,제품명!C:D,2,0)</f>
        <v>#N/A</v>
      </c>
      <c r="G145" s="39" t="e">
        <f>VLOOKUP(F145,제품명!D:E,2,0)</f>
        <v>#N/A</v>
      </c>
      <c r="H145" s="6">
        <f>'Raw data'!K145</f>
        <v>0</v>
      </c>
      <c r="I145" s="13">
        <f>'Raw data'!H145</f>
        <v>0</v>
      </c>
      <c r="J145" s="4">
        <f t="shared" si="2"/>
        <v>0</v>
      </c>
    </row>
    <row r="146" spans="1:10" ht="12" customHeight="1">
      <c r="A146" s="6">
        <f>'Raw data'!O146</f>
        <v>0</v>
      </c>
      <c r="C146" s="9"/>
      <c r="D146" s="7" t="e">
        <f>VLOOKUP('Raw data'!P146,'점포코드 '!A:B,2,0)</f>
        <v>#N/A</v>
      </c>
      <c r="E146" s="18" t="e">
        <f>VLOOKUP(D146,'점포코드 '!B:C,2,0)</f>
        <v>#N/A</v>
      </c>
      <c r="F146" s="19" t="e">
        <f>VLOOKUP('Raw data'!F146,제품명!C:D,2,0)</f>
        <v>#N/A</v>
      </c>
      <c r="G146" s="39" t="e">
        <f>VLOOKUP(F146,제품명!D:E,2,0)</f>
        <v>#N/A</v>
      </c>
      <c r="H146" s="6">
        <f>'Raw data'!K146</f>
        <v>0</v>
      </c>
      <c r="I146" s="13">
        <f>'Raw data'!H146</f>
        <v>0</v>
      </c>
      <c r="J146" s="4">
        <f t="shared" si="2"/>
        <v>0</v>
      </c>
    </row>
    <row r="147" spans="1:10" ht="12" customHeight="1">
      <c r="A147" s="6">
        <f>'Raw data'!O147</f>
        <v>0</v>
      </c>
      <c r="C147" s="9"/>
      <c r="D147" s="7" t="e">
        <f>VLOOKUP('Raw data'!P147,'점포코드 '!A:B,2,0)</f>
        <v>#N/A</v>
      </c>
      <c r="E147" s="18" t="e">
        <f>VLOOKUP(D147,'점포코드 '!B:C,2,0)</f>
        <v>#N/A</v>
      </c>
      <c r="F147" s="19" t="e">
        <f>VLOOKUP('Raw data'!F147,제품명!C:D,2,0)</f>
        <v>#N/A</v>
      </c>
      <c r="G147" s="39" t="e">
        <f>VLOOKUP(F147,제품명!D:E,2,0)</f>
        <v>#N/A</v>
      </c>
      <c r="H147" s="6">
        <f>'Raw data'!K147</f>
        <v>0</v>
      </c>
      <c r="I147" s="13">
        <f>'Raw data'!H147</f>
        <v>0</v>
      </c>
      <c r="J147" s="4">
        <f t="shared" si="2"/>
        <v>0</v>
      </c>
    </row>
    <row r="148" spans="1:10" ht="12" customHeight="1">
      <c r="A148" s="6">
        <f>'Raw data'!O148</f>
        <v>0</v>
      </c>
      <c r="C148" s="9"/>
      <c r="D148" s="7" t="e">
        <f>VLOOKUP('Raw data'!P148,'점포코드 '!A:B,2,0)</f>
        <v>#N/A</v>
      </c>
      <c r="E148" s="18" t="e">
        <f>VLOOKUP(D148,'점포코드 '!B:C,2,0)</f>
        <v>#N/A</v>
      </c>
      <c r="F148" s="19" t="e">
        <f>VLOOKUP('Raw data'!F148,제품명!C:D,2,0)</f>
        <v>#N/A</v>
      </c>
      <c r="G148" s="39" t="e">
        <f>VLOOKUP(F148,제품명!D:E,2,0)</f>
        <v>#N/A</v>
      </c>
      <c r="H148" s="6">
        <f>'Raw data'!K148</f>
        <v>0</v>
      </c>
      <c r="I148" s="13">
        <f>'Raw data'!H148</f>
        <v>0</v>
      </c>
      <c r="J148" s="4">
        <f t="shared" si="2"/>
        <v>0</v>
      </c>
    </row>
    <row r="149" spans="1:10" ht="12" customHeight="1">
      <c r="A149" s="6">
        <f>'Raw data'!O149</f>
        <v>0</v>
      </c>
      <c r="C149" s="9"/>
      <c r="D149" s="7" t="e">
        <f>VLOOKUP('Raw data'!P149,'점포코드 '!A:B,2,0)</f>
        <v>#N/A</v>
      </c>
      <c r="E149" s="18" t="e">
        <f>VLOOKUP(D149,'점포코드 '!B:C,2,0)</f>
        <v>#N/A</v>
      </c>
      <c r="F149" s="19" t="e">
        <f>VLOOKUP('Raw data'!F149,제품명!C:D,2,0)</f>
        <v>#N/A</v>
      </c>
      <c r="G149" s="39" t="e">
        <f>VLOOKUP(F149,제품명!D:E,2,0)</f>
        <v>#N/A</v>
      </c>
      <c r="H149" s="6">
        <f>'Raw data'!K149</f>
        <v>0</v>
      </c>
      <c r="I149" s="13">
        <f>'Raw data'!H149</f>
        <v>0</v>
      </c>
      <c r="J149" s="4">
        <f t="shared" si="2"/>
        <v>0</v>
      </c>
    </row>
    <row r="150" spans="1:10" ht="12" customHeight="1">
      <c r="A150" s="6">
        <f>'Raw data'!O150</f>
        <v>0</v>
      </c>
      <c r="C150" s="9"/>
      <c r="D150" s="7" t="e">
        <f>VLOOKUP('Raw data'!P150,'점포코드 '!A:B,2,0)</f>
        <v>#N/A</v>
      </c>
      <c r="E150" s="18" t="e">
        <f>VLOOKUP(D150,'점포코드 '!B:C,2,0)</f>
        <v>#N/A</v>
      </c>
      <c r="F150" s="19" t="e">
        <f>VLOOKUP('Raw data'!F150,제품명!C:D,2,0)</f>
        <v>#N/A</v>
      </c>
      <c r="G150" s="39" t="e">
        <f>VLOOKUP(F150,제품명!D:E,2,0)</f>
        <v>#N/A</v>
      </c>
      <c r="H150" s="6">
        <f>'Raw data'!K150</f>
        <v>0</v>
      </c>
      <c r="I150" s="13">
        <f>'Raw data'!H150</f>
        <v>0</v>
      </c>
      <c r="J150" s="4">
        <f t="shared" si="2"/>
        <v>0</v>
      </c>
    </row>
    <row r="151" spans="1:10" ht="12" customHeight="1">
      <c r="A151" s="6">
        <f>'Raw data'!O151</f>
        <v>0</v>
      </c>
      <c r="C151" s="9"/>
      <c r="D151" s="7" t="e">
        <f>VLOOKUP('Raw data'!P151,'점포코드 '!A:B,2,0)</f>
        <v>#N/A</v>
      </c>
      <c r="E151" s="18" t="e">
        <f>VLOOKUP(D151,'점포코드 '!B:C,2,0)</f>
        <v>#N/A</v>
      </c>
      <c r="F151" s="19" t="e">
        <f>VLOOKUP('Raw data'!F151,제품명!C:D,2,0)</f>
        <v>#N/A</v>
      </c>
      <c r="G151" s="39" t="e">
        <f>VLOOKUP(F151,제품명!D:E,2,0)</f>
        <v>#N/A</v>
      </c>
      <c r="H151" s="6">
        <f>'Raw data'!K151</f>
        <v>0</v>
      </c>
      <c r="I151" s="13">
        <f>'Raw data'!H151</f>
        <v>0</v>
      </c>
      <c r="J151" s="4">
        <f t="shared" si="2"/>
        <v>0</v>
      </c>
    </row>
    <row r="152" spans="1:10" ht="12" customHeight="1">
      <c r="A152" s="6">
        <f>'Raw data'!O152</f>
        <v>0</v>
      </c>
      <c r="C152" s="9"/>
      <c r="D152" s="7" t="e">
        <f>VLOOKUP('Raw data'!P152,'점포코드 '!A:B,2,0)</f>
        <v>#N/A</v>
      </c>
      <c r="E152" s="18" t="e">
        <f>VLOOKUP(D152,'점포코드 '!B:C,2,0)</f>
        <v>#N/A</v>
      </c>
      <c r="F152" s="19" t="e">
        <f>VLOOKUP('Raw data'!F152,제품명!C:D,2,0)</f>
        <v>#N/A</v>
      </c>
      <c r="G152" s="39" t="e">
        <f>VLOOKUP(F152,제품명!D:E,2,0)</f>
        <v>#N/A</v>
      </c>
      <c r="H152" s="6">
        <f>'Raw data'!K152</f>
        <v>0</v>
      </c>
      <c r="I152" s="13">
        <f>'Raw data'!H152</f>
        <v>0</v>
      </c>
      <c r="J152" s="4">
        <f t="shared" si="2"/>
        <v>0</v>
      </c>
    </row>
    <row r="153" spans="1:10" ht="12" customHeight="1">
      <c r="A153" s="6">
        <f>'Raw data'!O153</f>
        <v>0</v>
      </c>
      <c r="C153" s="9"/>
      <c r="D153" s="7" t="e">
        <f>VLOOKUP('Raw data'!P153,'점포코드 '!A:B,2,0)</f>
        <v>#N/A</v>
      </c>
      <c r="E153" s="18" t="e">
        <f>VLOOKUP(D153,'점포코드 '!B:C,2,0)</f>
        <v>#N/A</v>
      </c>
      <c r="F153" s="19" t="e">
        <f>VLOOKUP('Raw data'!F153,제품명!C:D,2,0)</f>
        <v>#N/A</v>
      </c>
      <c r="G153" s="39" t="e">
        <f>VLOOKUP(F153,제품명!D:E,2,0)</f>
        <v>#N/A</v>
      </c>
      <c r="H153" s="6">
        <f>'Raw data'!K153</f>
        <v>0</v>
      </c>
      <c r="I153" s="13">
        <f>'Raw data'!H153</f>
        <v>0</v>
      </c>
      <c r="J153" s="4">
        <f t="shared" si="2"/>
        <v>0</v>
      </c>
    </row>
    <row r="154" spans="1:10" ht="12" customHeight="1">
      <c r="A154" s="6">
        <f>'Raw data'!O154</f>
        <v>0</v>
      </c>
      <c r="C154" s="9"/>
      <c r="D154" s="7" t="e">
        <f>VLOOKUP('Raw data'!P154,'점포코드 '!A:B,2,0)</f>
        <v>#N/A</v>
      </c>
      <c r="E154" s="18" t="e">
        <f>VLOOKUP(D154,'점포코드 '!B:C,2,0)</f>
        <v>#N/A</v>
      </c>
      <c r="F154" s="19" t="e">
        <f>VLOOKUP('Raw data'!F154,제품명!C:D,2,0)</f>
        <v>#N/A</v>
      </c>
      <c r="G154" s="39" t="e">
        <f>VLOOKUP(F154,제품명!D:E,2,0)</f>
        <v>#N/A</v>
      </c>
      <c r="H154" s="6">
        <f>'Raw data'!K154</f>
        <v>0</v>
      </c>
      <c r="I154" s="13">
        <f>'Raw data'!H154</f>
        <v>0</v>
      </c>
      <c r="J154" s="4">
        <f t="shared" si="2"/>
        <v>0</v>
      </c>
    </row>
    <row r="155" spans="1:10" ht="12" customHeight="1">
      <c r="A155" s="6">
        <f>'Raw data'!O155</f>
        <v>0</v>
      </c>
      <c r="C155" s="9"/>
      <c r="D155" s="7" t="e">
        <f>VLOOKUP('Raw data'!P155,'점포코드 '!A:B,2,0)</f>
        <v>#N/A</v>
      </c>
      <c r="E155" s="18" t="e">
        <f>VLOOKUP(D155,'점포코드 '!B:C,2,0)</f>
        <v>#N/A</v>
      </c>
      <c r="F155" s="19" t="e">
        <f>VLOOKUP('Raw data'!F155,제품명!C:D,2,0)</f>
        <v>#N/A</v>
      </c>
      <c r="G155" s="39" t="e">
        <f>VLOOKUP(F155,제품명!D:E,2,0)</f>
        <v>#N/A</v>
      </c>
      <c r="H155" s="6">
        <f>'Raw data'!K155</f>
        <v>0</v>
      </c>
      <c r="I155" s="13">
        <f>'Raw data'!H155</f>
        <v>0</v>
      </c>
      <c r="J155" s="4">
        <f t="shared" si="2"/>
        <v>0</v>
      </c>
    </row>
    <row r="156" spans="1:10" ht="12" customHeight="1">
      <c r="A156" s="6">
        <f>'Raw data'!O156</f>
        <v>0</v>
      </c>
      <c r="C156" s="9"/>
      <c r="D156" s="7" t="e">
        <f>VLOOKUP('Raw data'!P156,'점포코드 '!A:B,2,0)</f>
        <v>#N/A</v>
      </c>
      <c r="E156" s="18" t="e">
        <f>VLOOKUP(D156,'점포코드 '!B:C,2,0)</f>
        <v>#N/A</v>
      </c>
      <c r="F156" s="19" t="e">
        <f>VLOOKUP('Raw data'!F156,제품명!C:D,2,0)</f>
        <v>#N/A</v>
      </c>
      <c r="G156" s="39" t="e">
        <f>VLOOKUP(F156,제품명!D:E,2,0)</f>
        <v>#N/A</v>
      </c>
      <c r="H156" s="6">
        <f>'Raw data'!K156</f>
        <v>0</v>
      </c>
      <c r="I156" s="13">
        <f>'Raw data'!H156</f>
        <v>0</v>
      </c>
      <c r="J156" s="4">
        <f t="shared" si="2"/>
        <v>0</v>
      </c>
    </row>
    <row r="157" spans="1:10" ht="12" customHeight="1">
      <c r="A157" s="6">
        <f>'Raw data'!O157</f>
        <v>0</v>
      </c>
      <c r="C157" s="9"/>
      <c r="D157" s="7" t="e">
        <f>VLOOKUP('Raw data'!P157,'점포코드 '!A:B,2,0)</f>
        <v>#N/A</v>
      </c>
      <c r="E157" s="18" t="e">
        <f>VLOOKUP(D157,'점포코드 '!B:C,2,0)</f>
        <v>#N/A</v>
      </c>
      <c r="F157" s="19" t="e">
        <f>VLOOKUP('Raw data'!F157,제품명!C:D,2,0)</f>
        <v>#N/A</v>
      </c>
      <c r="G157" s="39" t="e">
        <f>VLOOKUP(F157,제품명!D:E,2,0)</f>
        <v>#N/A</v>
      </c>
      <c r="H157" s="6">
        <f>'Raw data'!K157</f>
        <v>0</v>
      </c>
      <c r="I157" s="13">
        <f>'Raw data'!H157</f>
        <v>0</v>
      </c>
      <c r="J157" s="4">
        <f t="shared" si="2"/>
        <v>0</v>
      </c>
    </row>
    <row r="158" spans="1:10" ht="12" customHeight="1">
      <c r="A158" s="6">
        <f>'Raw data'!O158</f>
        <v>0</v>
      </c>
      <c r="C158" s="9"/>
      <c r="D158" s="7" t="e">
        <f>VLOOKUP('Raw data'!P158,'점포코드 '!A:B,2,0)</f>
        <v>#N/A</v>
      </c>
      <c r="E158" s="18" t="e">
        <f>VLOOKUP(D158,'점포코드 '!B:C,2,0)</f>
        <v>#N/A</v>
      </c>
      <c r="F158" s="19" t="e">
        <f>VLOOKUP('Raw data'!F158,제품명!C:D,2,0)</f>
        <v>#N/A</v>
      </c>
      <c r="G158" s="39" t="e">
        <f>VLOOKUP(F158,제품명!D:E,2,0)</f>
        <v>#N/A</v>
      </c>
      <c r="H158" s="6">
        <f>'Raw data'!K158</f>
        <v>0</v>
      </c>
      <c r="I158" s="13">
        <f>'Raw data'!H158</f>
        <v>0</v>
      </c>
      <c r="J158" s="4">
        <f t="shared" si="2"/>
        <v>0</v>
      </c>
    </row>
    <row r="159" spans="1:10" ht="12" customHeight="1">
      <c r="A159" s="6">
        <f>'Raw data'!O159</f>
        <v>0</v>
      </c>
      <c r="C159" s="9"/>
      <c r="D159" s="7" t="e">
        <f>VLOOKUP('Raw data'!P159,'점포코드 '!A:B,2,0)</f>
        <v>#N/A</v>
      </c>
      <c r="E159" s="18" t="e">
        <f>VLOOKUP(D159,'점포코드 '!B:C,2,0)</f>
        <v>#N/A</v>
      </c>
      <c r="F159" s="19" t="e">
        <f>VLOOKUP('Raw data'!F159,제품명!C:D,2,0)</f>
        <v>#N/A</v>
      </c>
      <c r="G159" s="39" t="e">
        <f>VLOOKUP(F159,제품명!D:E,2,0)</f>
        <v>#N/A</v>
      </c>
      <c r="H159" s="6">
        <f>'Raw data'!K159</f>
        <v>0</v>
      </c>
      <c r="I159" s="13">
        <f>'Raw data'!H159</f>
        <v>0</v>
      </c>
      <c r="J159" s="4">
        <f t="shared" si="2"/>
        <v>0</v>
      </c>
    </row>
    <row r="160" spans="1:10" ht="12" customHeight="1">
      <c r="A160" s="6">
        <f>'Raw data'!O160</f>
        <v>0</v>
      </c>
      <c r="C160" s="9"/>
      <c r="D160" s="7" t="e">
        <f>VLOOKUP('Raw data'!P160,'점포코드 '!A:B,2,0)</f>
        <v>#N/A</v>
      </c>
      <c r="E160" s="18" t="e">
        <f>VLOOKUP(D160,'점포코드 '!B:C,2,0)</f>
        <v>#N/A</v>
      </c>
      <c r="F160" s="19" t="e">
        <f>VLOOKUP('Raw data'!F160,제품명!C:D,2,0)</f>
        <v>#N/A</v>
      </c>
      <c r="G160" s="39" t="e">
        <f>VLOOKUP(F160,제품명!D:E,2,0)</f>
        <v>#N/A</v>
      </c>
      <c r="H160" s="6">
        <f>'Raw data'!K160</f>
        <v>0</v>
      </c>
      <c r="I160" s="13">
        <f>'Raw data'!H160</f>
        <v>0</v>
      </c>
      <c r="J160" s="4">
        <f t="shared" si="2"/>
        <v>0</v>
      </c>
    </row>
    <row r="161" spans="1:10" ht="12" customHeight="1">
      <c r="A161" s="6">
        <f>'Raw data'!O161</f>
        <v>0</v>
      </c>
      <c r="C161" s="9"/>
      <c r="D161" s="7" t="e">
        <f>VLOOKUP('Raw data'!P161,'점포코드 '!A:B,2,0)</f>
        <v>#N/A</v>
      </c>
      <c r="E161" s="18" t="e">
        <f>VLOOKUP(D161,'점포코드 '!B:C,2,0)</f>
        <v>#N/A</v>
      </c>
      <c r="F161" s="19" t="e">
        <f>VLOOKUP('Raw data'!F161,제품명!C:D,2,0)</f>
        <v>#N/A</v>
      </c>
      <c r="G161" s="39" t="e">
        <f>VLOOKUP(F161,제품명!D:E,2,0)</f>
        <v>#N/A</v>
      </c>
      <c r="H161" s="6">
        <f>'Raw data'!K161</f>
        <v>0</v>
      </c>
      <c r="I161" s="13">
        <f>'Raw data'!H161</f>
        <v>0</v>
      </c>
      <c r="J161" s="4">
        <f t="shared" si="2"/>
        <v>0</v>
      </c>
    </row>
    <row r="162" spans="1:10" ht="12" customHeight="1">
      <c r="A162" s="6">
        <f>'Raw data'!O162</f>
        <v>0</v>
      </c>
      <c r="C162" s="9"/>
      <c r="D162" s="7" t="e">
        <f>VLOOKUP('Raw data'!P162,'점포코드 '!A:B,2,0)</f>
        <v>#N/A</v>
      </c>
      <c r="E162" s="18" t="e">
        <f>VLOOKUP(D162,'점포코드 '!B:C,2,0)</f>
        <v>#N/A</v>
      </c>
      <c r="F162" s="19" t="e">
        <f>VLOOKUP('Raw data'!F162,제품명!C:D,2,0)</f>
        <v>#N/A</v>
      </c>
      <c r="G162" s="39" t="e">
        <f>VLOOKUP(F162,제품명!D:E,2,0)</f>
        <v>#N/A</v>
      </c>
      <c r="H162" s="6">
        <f>'Raw data'!K162</f>
        <v>0</v>
      </c>
      <c r="I162" s="13">
        <f>'Raw data'!H162</f>
        <v>0</v>
      </c>
      <c r="J162" s="4">
        <f t="shared" si="2"/>
        <v>0</v>
      </c>
    </row>
    <row r="163" spans="1:10" ht="12" customHeight="1">
      <c r="A163" s="6">
        <f>'Raw data'!O163</f>
        <v>0</v>
      </c>
      <c r="C163" s="9"/>
      <c r="D163" s="7" t="e">
        <f>VLOOKUP('Raw data'!P163,'점포코드 '!A:B,2,0)</f>
        <v>#N/A</v>
      </c>
      <c r="E163" s="18" t="e">
        <f>VLOOKUP(D163,'점포코드 '!B:C,2,0)</f>
        <v>#N/A</v>
      </c>
      <c r="F163" s="19" t="e">
        <f>VLOOKUP('Raw data'!F163,제품명!C:D,2,0)</f>
        <v>#N/A</v>
      </c>
      <c r="G163" s="39" t="e">
        <f>VLOOKUP(F163,제품명!D:E,2,0)</f>
        <v>#N/A</v>
      </c>
      <c r="H163" s="6">
        <f>'Raw data'!K163</f>
        <v>0</v>
      </c>
      <c r="I163" s="13">
        <f>'Raw data'!H163</f>
        <v>0</v>
      </c>
      <c r="J163" s="4">
        <f t="shared" si="2"/>
        <v>0</v>
      </c>
    </row>
    <row r="164" spans="1:10" ht="12" customHeight="1">
      <c r="A164" s="6">
        <f>'Raw data'!O164</f>
        <v>0</v>
      </c>
      <c r="C164" s="9"/>
      <c r="D164" s="7" t="e">
        <f>VLOOKUP('Raw data'!P164,'점포코드 '!A:B,2,0)</f>
        <v>#N/A</v>
      </c>
      <c r="E164" s="18" t="e">
        <f>VLOOKUP(D164,'점포코드 '!B:C,2,0)</f>
        <v>#N/A</v>
      </c>
      <c r="F164" s="19" t="e">
        <f>VLOOKUP('Raw data'!F164,제품명!C:D,2,0)</f>
        <v>#N/A</v>
      </c>
      <c r="G164" s="39" t="e">
        <f>VLOOKUP(F164,제품명!D:E,2,0)</f>
        <v>#N/A</v>
      </c>
      <c r="H164" s="6">
        <f>'Raw data'!K164</f>
        <v>0</v>
      </c>
      <c r="I164" s="13">
        <f>'Raw data'!H164</f>
        <v>0</v>
      </c>
      <c r="J164" s="4">
        <f t="shared" si="2"/>
        <v>0</v>
      </c>
    </row>
    <row r="165" spans="1:10" ht="12" customHeight="1">
      <c r="A165" s="6">
        <f>'Raw data'!O165</f>
        <v>0</v>
      </c>
      <c r="C165" s="9"/>
      <c r="D165" s="7" t="e">
        <f>VLOOKUP('Raw data'!P165,'점포코드 '!A:B,2,0)</f>
        <v>#N/A</v>
      </c>
      <c r="E165" s="18" t="e">
        <f>VLOOKUP(D165,'점포코드 '!B:C,2,0)</f>
        <v>#N/A</v>
      </c>
      <c r="F165" s="19" t="e">
        <f>VLOOKUP('Raw data'!F165,제품명!C:D,2,0)</f>
        <v>#N/A</v>
      </c>
      <c r="G165" s="39" t="e">
        <f>VLOOKUP(F165,제품명!D:E,2,0)</f>
        <v>#N/A</v>
      </c>
      <c r="H165" s="6">
        <f>'Raw data'!K165</f>
        <v>0</v>
      </c>
      <c r="I165" s="13">
        <f>'Raw data'!H165</f>
        <v>0</v>
      </c>
      <c r="J165" s="4">
        <f t="shared" si="2"/>
        <v>0</v>
      </c>
    </row>
    <row r="166" spans="1:10" ht="12" customHeight="1">
      <c r="A166" s="6">
        <f>'Raw data'!O166</f>
        <v>0</v>
      </c>
      <c r="C166" s="9"/>
      <c r="D166" s="7" t="e">
        <f>VLOOKUP('Raw data'!P166,'점포코드 '!A:B,2,0)</f>
        <v>#N/A</v>
      </c>
      <c r="E166" s="18" t="e">
        <f>VLOOKUP(D166,'점포코드 '!B:C,2,0)</f>
        <v>#N/A</v>
      </c>
      <c r="F166" s="19" t="e">
        <f>VLOOKUP('Raw data'!F166,제품명!C:D,2,0)</f>
        <v>#N/A</v>
      </c>
      <c r="G166" s="39" t="e">
        <f>VLOOKUP(F166,제품명!D:E,2,0)</f>
        <v>#N/A</v>
      </c>
      <c r="H166" s="6">
        <f>'Raw data'!K166</f>
        <v>0</v>
      </c>
      <c r="I166" s="13">
        <f>'Raw data'!H166</f>
        <v>0</v>
      </c>
      <c r="J166" s="4">
        <f t="shared" si="2"/>
        <v>0</v>
      </c>
    </row>
    <row r="167" spans="1:10" ht="12" customHeight="1">
      <c r="A167" s="6">
        <f>'Raw data'!O167</f>
        <v>0</v>
      </c>
      <c r="C167" s="9"/>
      <c r="D167" s="7" t="e">
        <f>VLOOKUP('Raw data'!P167,'점포코드 '!A:B,2,0)</f>
        <v>#N/A</v>
      </c>
      <c r="E167" s="18" t="e">
        <f>VLOOKUP(D167,'점포코드 '!B:C,2,0)</f>
        <v>#N/A</v>
      </c>
      <c r="F167" s="19" t="e">
        <f>VLOOKUP('Raw data'!F167,제품명!C:D,2,0)</f>
        <v>#N/A</v>
      </c>
      <c r="G167" s="39" t="e">
        <f>VLOOKUP(F167,제품명!D:E,2,0)</f>
        <v>#N/A</v>
      </c>
      <c r="H167" s="6">
        <f>'Raw data'!K167</f>
        <v>0</v>
      </c>
      <c r="I167" s="13">
        <f>'Raw data'!H167</f>
        <v>0</v>
      </c>
      <c r="J167" s="4">
        <f t="shared" si="2"/>
        <v>0</v>
      </c>
    </row>
    <row r="168" spans="1:10" ht="12" customHeight="1">
      <c r="A168" s="6">
        <f>'Raw data'!O168</f>
        <v>0</v>
      </c>
      <c r="C168" s="9"/>
      <c r="D168" s="7" t="e">
        <f>VLOOKUP('Raw data'!P168,'점포코드 '!A:B,2,0)</f>
        <v>#N/A</v>
      </c>
      <c r="E168" s="18" t="e">
        <f>VLOOKUP(D168,'점포코드 '!B:C,2,0)</f>
        <v>#N/A</v>
      </c>
      <c r="F168" s="19" t="e">
        <f>VLOOKUP('Raw data'!F168,제품명!C:D,2,0)</f>
        <v>#N/A</v>
      </c>
      <c r="G168" s="39" t="e">
        <f>VLOOKUP(F168,제품명!D:E,2,0)</f>
        <v>#N/A</v>
      </c>
      <c r="H168" s="6">
        <f>'Raw data'!K168</f>
        <v>0</v>
      </c>
      <c r="I168" s="13">
        <f>'Raw data'!H168</f>
        <v>0</v>
      </c>
      <c r="J168" s="4">
        <f t="shared" si="2"/>
        <v>0</v>
      </c>
    </row>
    <row r="169" spans="1:10" ht="12" customHeight="1">
      <c r="A169" s="6">
        <f>'Raw data'!O169</f>
        <v>0</v>
      </c>
      <c r="C169" s="9"/>
      <c r="D169" s="7" t="e">
        <f>VLOOKUP('Raw data'!P169,'점포코드 '!A:B,2,0)</f>
        <v>#N/A</v>
      </c>
      <c r="E169" s="18" t="e">
        <f>VLOOKUP(D169,'점포코드 '!B:C,2,0)</f>
        <v>#N/A</v>
      </c>
      <c r="F169" s="19" t="e">
        <f>VLOOKUP('Raw data'!F169,제품명!C:D,2,0)</f>
        <v>#N/A</v>
      </c>
      <c r="G169" s="39" t="e">
        <f>VLOOKUP(F169,제품명!D:E,2,0)</f>
        <v>#N/A</v>
      </c>
      <c r="H169" s="6">
        <f>'Raw data'!K169</f>
        <v>0</v>
      </c>
      <c r="I169" s="13">
        <f>'Raw data'!H169</f>
        <v>0</v>
      </c>
      <c r="J169" s="4">
        <f t="shared" si="2"/>
        <v>0</v>
      </c>
    </row>
    <row r="170" spans="1:10" ht="12" customHeight="1">
      <c r="A170" s="6">
        <f>'Raw data'!O170</f>
        <v>0</v>
      </c>
      <c r="C170" s="9"/>
      <c r="D170" s="7" t="e">
        <f>VLOOKUP('Raw data'!P170,'점포코드 '!A:B,2,0)</f>
        <v>#N/A</v>
      </c>
      <c r="E170" s="18" t="e">
        <f>VLOOKUP(D170,'점포코드 '!B:C,2,0)</f>
        <v>#N/A</v>
      </c>
      <c r="F170" s="19" t="e">
        <f>VLOOKUP('Raw data'!F170,제품명!C:D,2,0)</f>
        <v>#N/A</v>
      </c>
      <c r="G170" s="39" t="e">
        <f>VLOOKUP(F170,제품명!D:E,2,0)</f>
        <v>#N/A</v>
      </c>
      <c r="H170" s="6">
        <f>'Raw data'!K170</f>
        <v>0</v>
      </c>
      <c r="I170" s="13">
        <f>'Raw data'!H170</f>
        <v>0</v>
      </c>
      <c r="J170" s="4">
        <f t="shared" si="2"/>
        <v>0</v>
      </c>
    </row>
    <row r="171" spans="1:10" ht="12" customHeight="1">
      <c r="A171" s="6">
        <f>'Raw data'!O171</f>
        <v>0</v>
      </c>
      <c r="C171" s="9"/>
      <c r="D171" s="7" t="e">
        <f>VLOOKUP('Raw data'!P171,'점포코드 '!A:B,2,0)</f>
        <v>#N/A</v>
      </c>
      <c r="E171" s="18" t="e">
        <f>VLOOKUP(D171,'점포코드 '!B:C,2,0)</f>
        <v>#N/A</v>
      </c>
      <c r="F171" s="19" t="e">
        <f>VLOOKUP('Raw data'!F171,제품명!C:D,2,0)</f>
        <v>#N/A</v>
      </c>
      <c r="G171" s="39" t="e">
        <f>VLOOKUP(F171,제품명!D:E,2,0)</f>
        <v>#N/A</v>
      </c>
      <c r="H171" s="6">
        <f>'Raw data'!K171</f>
        <v>0</v>
      </c>
      <c r="I171" s="13">
        <f>'Raw data'!H171</f>
        <v>0</v>
      </c>
      <c r="J171" s="4">
        <f t="shared" si="2"/>
        <v>0</v>
      </c>
    </row>
    <row r="172" spans="1:10" ht="12" customHeight="1">
      <c r="A172" s="6">
        <f>'Raw data'!O172</f>
        <v>0</v>
      </c>
      <c r="C172" s="9"/>
      <c r="D172" s="7" t="e">
        <f>VLOOKUP('Raw data'!P172,'점포코드 '!A:B,2,0)</f>
        <v>#N/A</v>
      </c>
      <c r="E172" s="18" t="e">
        <f>VLOOKUP(D172,'점포코드 '!B:C,2,0)</f>
        <v>#N/A</v>
      </c>
      <c r="F172" s="19" t="e">
        <f>VLOOKUP('Raw data'!F172,제품명!C:D,2,0)</f>
        <v>#N/A</v>
      </c>
      <c r="G172" s="39" t="e">
        <f>VLOOKUP(F172,제품명!D:E,2,0)</f>
        <v>#N/A</v>
      </c>
      <c r="H172" s="6">
        <f>'Raw data'!K172</f>
        <v>0</v>
      </c>
      <c r="I172" s="13">
        <f>'Raw data'!H172</f>
        <v>0</v>
      </c>
      <c r="J172" s="4">
        <f t="shared" si="2"/>
        <v>0</v>
      </c>
    </row>
    <row r="173" spans="1:10" ht="12" customHeight="1">
      <c r="A173" s="6">
        <f>'Raw data'!O173</f>
        <v>0</v>
      </c>
      <c r="C173" s="9"/>
      <c r="D173" s="7" t="e">
        <f>VLOOKUP('Raw data'!P173,'점포코드 '!A:B,2,0)</f>
        <v>#N/A</v>
      </c>
      <c r="E173" s="18" t="e">
        <f>VLOOKUP(D173,'점포코드 '!B:C,2,0)</f>
        <v>#N/A</v>
      </c>
      <c r="F173" s="19" t="e">
        <f>VLOOKUP('Raw data'!F173,제품명!C:D,2,0)</f>
        <v>#N/A</v>
      </c>
      <c r="G173" s="39" t="e">
        <f>VLOOKUP(F173,제품명!D:E,2,0)</f>
        <v>#N/A</v>
      </c>
      <c r="H173" s="6">
        <f>'Raw data'!K173</f>
        <v>0</v>
      </c>
      <c r="I173" s="13">
        <f>'Raw data'!H173</f>
        <v>0</v>
      </c>
      <c r="J173" s="4">
        <f t="shared" si="2"/>
        <v>0</v>
      </c>
    </row>
    <row r="174" spans="1:10" ht="12" customHeight="1">
      <c r="A174" s="6">
        <f>'Raw data'!O174</f>
        <v>0</v>
      </c>
      <c r="C174" s="9"/>
      <c r="D174" s="7" t="e">
        <f>VLOOKUP('Raw data'!P174,'점포코드 '!A:B,2,0)</f>
        <v>#N/A</v>
      </c>
      <c r="E174" s="18" t="e">
        <f>VLOOKUP(D174,'점포코드 '!B:C,2,0)</f>
        <v>#N/A</v>
      </c>
      <c r="F174" s="19" t="e">
        <f>VLOOKUP('Raw data'!F174,제품명!C:D,2,0)</f>
        <v>#N/A</v>
      </c>
      <c r="G174" s="39" t="e">
        <f>VLOOKUP(F174,제품명!D:E,2,0)</f>
        <v>#N/A</v>
      </c>
      <c r="H174" s="6">
        <f>'Raw data'!K174</f>
        <v>0</v>
      </c>
      <c r="I174" s="13">
        <f>'Raw data'!H174</f>
        <v>0</v>
      </c>
      <c r="J174" s="4">
        <f t="shared" si="2"/>
        <v>0</v>
      </c>
    </row>
    <row r="175" spans="1:10" ht="12" customHeight="1">
      <c r="A175" s="6">
        <f>'Raw data'!O175</f>
        <v>0</v>
      </c>
      <c r="C175" s="9"/>
      <c r="D175" s="7" t="e">
        <f>VLOOKUP('Raw data'!P175,'점포코드 '!A:B,2,0)</f>
        <v>#N/A</v>
      </c>
      <c r="E175" s="18" t="e">
        <f>VLOOKUP(D175,'점포코드 '!B:C,2,0)</f>
        <v>#N/A</v>
      </c>
      <c r="F175" s="19" t="e">
        <f>VLOOKUP('Raw data'!F175,제품명!C:D,2,0)</f>
        <v>#N/A</v>
      </c>
      <c r="G175" s="39" t="e">
        <f>VLOOKUP(F175,제품명!D:E,2,0)</f>
        <v>#N/A</v>
      </c>
      <c r="H175" s="6">
        <f>'Raw data'!K175</f>
        <v>0</v>
      </c>
      <c r="I175" s="13">
        <f>'Raw data'!H175</f>
        <v>0</v>
      </c>
      <c r="J175" s="4">
        <f t="shared" si="2"/>
        <v>0</v>
      </c>
    </row>
    <row r="176" spans="1:10" ht="12" customHeight="1">
      <c r="A176" s="6">
        <f>'Raw data'!O176</f>
        <v>0</v>
      </c>
      <c r="C176" s="9"/>
      <c r="D176" s="7" t="e">
        <f>VLOOKUP('Raw data'!P176,'점포코드 '!A:B,2,0)</f>
        <v>#N/A</v>
      </c>
      <c r="E176" s="18" t="e">
        <f>VLOOKUP(D176,'점포코드 '!B:C,2,0)</f>
        <v>#N/A</v>
      </c>
      <c r="F176" s="19" t="e">
        <f>VLOOKUP('Raw data'!F176,제품명!C:D,2,0)</f>
        <v>#N/A</v>
      </c>
      <c r="G176" s="39" t="e">
        <f>VLOOKUP(F176,제품명!D:E,2,0)</f>
        <v>#N/A</v>
      </c>
      <c r="H176" s="6">
        <f>'Raw data'!K176</f>
        <v>0</v>
      </c>
      <c r="I176" s="13">
        <f>'Raw data'!H176</f>
        <v>0</v>
      </c>
      <c r="J176" s="4">
        <f t="shared" si="2"/>
        <v>0</v>
      </c>
    </row>
    <row r="177" spans="1:10" ht="12" customHeight="1">
      <c r="A177" s="6">
        <f>'Raw data'!O177</f>
        <v>0</v>
      </c>
      <c r="C177" s="9"/>
      <c r="D177" s="7" t="e">
        <f>VLOOKUP('Raw data'!P177,'점포코드 '!A:B,2,0)</f>
        <v>#N/A</v>
      </c>
      <c r="E177" s="18" t="e">
        <f>VLOOKUP(D177,'점포코드 '!B:C,2,0)</f>
        <v>#N/A</v>
      </c>
      <c r="F177" s="19" t="e">
        <f>VLOOKUP('Raw data'!F177,제품명!C:D,2,0)</f>
        <v>#N/A</v>
      </c>
      <c r="G177" s="39" t="e">
        <f>VLOOKUP(F177,제품명!D:E,2,0)</f>
        <v>#N/A</v>
      </c>
      <c r="H177" s="6">
        <f>'Raw data'!K177</f>
        <v>0</v>
      </c>
      <c r="I177" s="13">
        <f>'Raw data'!H177</f>
        <v>0</v>
      </c>
      <c r="J177" s="4">
        <f t="shared" si="2"/>
        <v>0</v>
      </c>
    </row>
    <row r="178" spans="1:10" ht="13.5" customHeight="1">
      <c r="A178" s="6">
        <f>'Raw data'!O178</f>
        <v>0</v>
      </c>
      <c r="C178" s="9"/>
      <c r="D178" s="7" t="e">
        <f>VLOOKUP('Raw data'!P178,'점포코드 '!A:B,2,0)</f>
        <v>#N/A</v>
      </c>
      <c r="E178" s="18" t="e">
        <f>VLOOKUP(D178,'점포코드 '!B:C,2,0)</f>
        <v>#N/A</v>
      </c>
      <c r="F178" s="19" t="e">
        <f>VLOOKUP('Raw data'!F178,제품명!C:D,2,0)</f>
        <v>#N/A</v>
      </c>
      <c r="G178" s="39" t="e">
        <f>VLOOKUP(F178,제품명!D:E,2,0)</f>
        <v>#N/A</v>
      </c>
      <c r="H178" s="6">
        <f>'Raw data'!K178</f>
        <v>0</v>
      </c>
      <c r="I178" s="13">
        <f>'Raw data'!H178</f>
        <v>0</v>
      </c>
      <c r="J178" s="4">
        <f t="shared" si="2"/>
        <v>0</v>
      </c>
    </row>
    <row r="179" spans="1:10" ht="13.5" customHeight="1">
      <c r="A179" s="6">
        <f>'Raw data'!O179</f>
        <v>0</v>
      </c>
      <c r="C179" s="9"/>
      <c r="D179" s="7" t="e">
        <f>VLOOKUP('Raw data'!P179,'점포코드 '!A:B,2,0)</f>
        <v>#N/A</v>
      </c>
      <c r="E179" s="18" t="e">
        <f>VLOOKUP(D179,'점포코드 '!B:C,2,0)</f>
        <v>#N/A</v>
      </c>
      <c r="F179" s="19" t="e">
        <f>VLOOKUP('Raw data'!F179,제품명!C:D,2,0)</f>
        <v>#N/A</v>
      </c>
      <c r="G179" s="39" t="e">
        <f>VLOOKUP(F179,제품명!D:E,2,0)</f>
        <v>#N/A</v>
      </c>
      <c r="H179" s="6">
        <f>'Raw data'!K179</f>
        <v>0</v>
      </c>
      <c r="I179" s="13">
        <f>'Raw data'!H179</f>
        <v>0</v>
      </c>
      <c r="J179" s="4">
        <f t="shared" si="2"/>
        <v>0</v>
      </c>
    </row>
    <row r="180" spans="1:10" ht="12" customHeight="1">
      <c r="A180" s="6">
        <f>'Raw data'!O180</f>
        <v>0</v>
      </c>
      <c r="C180" s="9"/>
      <c r="D180" s="7" t="e">
        <f>VLOOKUP('Raw data'!P180,'점포코드 '!A:B,2,0)</f>
        <v>#N/A</v>
      </c>
      <c r="E180" s="18" t="e">
        <f>VLOOKUP(D180,'점포코드 '!B:C,2,0)</f>
        <v>#N/A</v>
      </c>
      <c r="F180" s="19" t="e">
        <f>VLOOKUP('Raw data'!F180,제품명!C:D,2,0)</f>
        <v>#N/A</v>
      </c>
      <c r="G180" s="39" t="e">
        <f>VLOOKUP(F180,제품명!D:E,2,0)</f>
        <v>#N/A</v>
      </c>
      <c r="H180" s="6">
        <f>'Raw data'!K180</f>
        <v>0</v>
      </c>
      <c r="I180" s="13">
        <f>'Raw data'!H180</f>
        <v>0</v>
      </c>
      <c r="J180" s="4">
        <f t="shared" si="2"/>
        <v>0</v>
      </c>
    </row>
    <row r="181" spans="1:10" ht="12" customHeight="1">
      <c r="A181" s="6">
        <f>'Raw data'!O181</f>
        <v>0</v>
      </c>
      <c r="C181" s="9"/>
      <c r="D181" s="7" t="e">
        <f>VLOOKUP('Raw data'!P181,'점포코드 '!A:B,2,0)</f>
        <v>#N/A</v>
      </c>
      <c r="E181" s="18" t="e">
        <f>VLOOKUP(D181,'점포코드 '!B:C,2,0)</f>
        <v>#N/A</v>
      </c>
      <c r="F181" s="19" t="e">
        <f>VLOOKUP('Raw data'!F181,제품명!C:D,2,0)</f>
        <v>#N/A</v>
      </c>
      <c r="G181" s="39" t="e">
        <f>VLOOKUP(F181,제품명!D:E,2,0)</f>
        <v>#N/A</v>
      </c>
      <c r="H181" s="6">
        <f>'Raw data'!K181</f>
        <v>0</v>
      </c>
      <c r="I181" s="13">
        <f>'Raw data'!H181</f>
        <v>0</v>
      </c>
      <c r="J181" s="4">
        <f t="shared" si="2"/>
        <v>0</v>
      </c>
    </row>
    <row r="182" spans="1:10" ht="12" customHeight="1">
      <c r="A182" s="6">
        <f>'Raw data'!O182</f>
        <v>0</v>
      </c>
      <c r="C182" s="9"/>
      <c r="D182" s="7" t="e">
        <f>VLOOKUP('Raw data'!P182,'점포코드 '!A:B,2,0)</f>
        <v>#N/A</v>
      </c>
      <c r="E182" s="18" t="e">
        <f>VLOOKUP(D182,'점포코드 '!B:C,2,0)</f>
        <v>#N/A</v>
      </c>
      <c r="F182" s="19" t="e">
        <f>VLOOKUP('Raw data'!F182,제품명!C:D,2,0)</f>
        <v>#N/A</v>
      </c>
      <c r="G182" s="39" t="e">
        <f>VLOOKUP(F182,제품명!D:E,2,0)</f>
        <v>#N/A</v>
      </c>
      <c r="H182" s="6">
        <f>'Raw data'!K182</f>
        <v>0</v>
      </c>
      <c r="I182" s="13">
        <f>'Raw data'!H182</f>
        <v>0</v>
      </c>
      <c r="J182" s="4">
        <f t="shared" si="2"/>
        <v>0</v>
      </c>
    </row>
    <row r="183" spans="1:10" ht="12" customHeight="1">
      <c r="A183" s="6">
        <f>'Raw data'!O183</f>
        <v>0</v>
      </c>
      <c r="C183" s="9"/>
      <c r="D183" s="7" t="e">
        <f>VLOOKUP('Raw data'!P183,'점포코드 '!A:B,2,0)</f>
        <v>#N/A</v>
      </c>
      <c r="E183" s="18" t="e">
        <f>VLOOKUP(D183,'점포코드 '!B:C,2,0)</f>
        <v>#N/A</v>
      </c>
      <c r="F183" s="19" t="e">
        <f>VLOOKUP('Raw data'!F183,제품명!C:D,2,0)</f>
        <v>#N/A</v>
      </c>
      <c r="G183" s="39" t="e">
        <f>VLOOKUP(F183,제품명!D:E,2,0)</f>
        <v>#N/A</v>
      </c>
      <c r="H183" s="6">
        <f>'Raw data'!K183</f>
        <v>0</v>
      </c>
      <c r="I183" s="13">
        <f>'Raw data'!H183</f>
        <v>0</v>
      </c>
      <c r="J183" s="4">
        <f t="shared" si="2"/>
        <v>0</v>
      </c>
    </row>
    <row r="184" spans="1:10" ht="12" customHeight="1">
      <c r="A184" s="6">
        <f>'Raw data'!O184</f>
        <v>0</v>
      </c>
      <c r="C184" s="9"/>
      <c r="D184" s="7" t="e">
        <f>VLOOKUP('Raw data'!P184,'점포코드 '!A:B,2,0)</f>
        <v>#N/A</v>
      </c>
      <c r="E184" s="18" t="e">
        <f>VLOOKUP(D184,'점포코드 '!B:C,2,0)</f>
        <v>#N/A</v>
      </c>
      <c r="F184" s="19" t="e">
        <f>VLOOKUP('Raw data'!F184,제품명!C:D,2,0)</f>
        <v>#N/A</v>
      </c>
      <c r="G184" s="39" t="e">
        <f>VLOOKUP(F184,제품명!D:E,2,0)</f>
        <v>#N/A</v>
      </c>
      <c r="H184" s="6">
        <f>'Raw data'!K184</f>
        <v>0</v>
      </c>
      <c r="I184" s="13">
        <f>'Raw data'!H184</f>
        <v>0</v>
      </c>
      <c r="J184" s="4">
        <f t="shared" si="2"/>
        <v>0</v>
      </c>
    </row>
    <row r="185" spans="1:10" ht="12" customHeight="1">
      <c r="A185" s="6">
        <f>'Raw data'!O185</f>
        <v>0</v>
      </c>
      <c r="C185" s="9"/>
      <c r="D185" s="7" t="e">
        <f>VLOOKUP('Raw data'!P185,'점포코드 '!A:B,2,0)</f>
        <v>#N/A</v>
      </c>
      <c r="E185" s="18" t="e">
        <f>VLOOKUP(D185,'점포코드 '!B:C,2,0)</f>
        <v>#N/A</v>
      </c>
      <c r="F185" s="19" t="e">
        <f>VLOOKUP('Raw data'!F185,제품명!C:D,2,0)</f>
        <v>#N/A</v>
      </c>
      <c r="G185" s="39" t="e">
        <f>VLOOKUP(F185,제품명!D:E,2,0)</f>
        <v>#N/A</v>
      </c>
      <c r="H185" s="6">
        <f>'Raw data'!K185</f>
        <v>0</v>
      </c>
      <c r="I185" s="13">
        <f>'Raw data'!H185</f>
        <v>0</v>
      </c>
      <c r="J185" s="4">
        <f t="shared" si="2"/>
        <v>0</v>
      </c>
    </row>
    <row r="186" spans="1:10" ht="12" customHeight="1">
      <c r="A186" s="6">
        <f>'Raw data'!O186</f>
        <v>0</v>
      </c>
      <c r="C186" s="9"/>
      <c r="D186" s="7" t="e">
        <f>VLOOKUP('Raw data'!P186,'점포코드 '!A:B,2,0)</f>
        <v>#N/A</v>
      </c>
      <c r="E186" s="18" t="e">
        <f>VLOOKUP(D186,'점포코드 '!B:C,2,0)</f>
        <v>#N/A</v>
      </c>
      <c r="F186" s="19" t="e">
        <f>VLOOKUP('Raw data'!F186,제품명!C:D,2,0)</f>
        <v>#N/A</v>
      </c>
      <c r="G186" s="39" t="e">
        <f>VLOOKUP(F186,제품명!D:E,2,0)</f>
        <v>#N/A</v>
      </c>
      <c r="H186" s="6">
        <f>'Raw data'!K186</f>
        <v>0</v>
      </c>
      <c r="I186" s="13">
        <f>'Raw data'!H186</f>
        <v>0</v>
      </c>
      <c r="J186" s="4">
        <f t="shared" si="2"/>
        <v>0</v>
      </c>
    </row>
    <row r="187" spans="1:10" ht="12" customHeight="1">
      <c r="A187" s="6">
        <f>'Raw data'!O187</f>
        <v>0</v>
      </c>
      <c r="C187" s="9"/>
      <c r="D187" s="7" t="e">
        <f>VLOOKUP('Raw data'!P187,'점포코드 '!A:B,2,0)</f>
        <v>#N/A</v>
      </c>
      <c r="E187" s="18" t="e">
        <f>VLOOKUP(D187,'점포코드 '!B:C,2,0)</f>
        <v>#N/A</v>
      </c>
      <c r="F187" s="19" t="e">
        <f>VLOOKUP('Raw data'!F187,제품명!C:D,2,0)</f>
        <v>#N/A</v>
      </c>
      <c r="G187" s="39" t="e">
        <f>VLOOKUP(F187,제품명!D:E,2,0)</f>
        <v>#N/A</v>
      </c>
      <c r="H187" s="6">
        <f>'Raw data'!K187</f>
        <v>0</v>
      </c>
      <c r="I187" s="13">
        <f>'Raw data'!H187</f>
        <v>0</v>
      </c>
      <c r="J187" s="4">
        <f t="shared" si="2"/>
        <v>0</v>
      </c>
    </row>
    <row r="188" spans="1:10" ht="12" customHeight="1">
      <c r="A188" s="6">
        <f>'Raw data'!O188</f>
        <v>0</v>
      </c>
      <c r="C188" s="9"/>
      <c r="D188" s="7" t="e">
        <f>VLOOKUP('Raw data'!P188,'점포코드 '!A:B,2,0)</f>
        <v>#N/A</v>
      </c>
      <c r="E188" s="18" t="e">
        <f>VLOOKUP(D188,'점포코드 '!B:C,2,0)</f>
        <v>#N/A</v>
      </c>
      <c r="F188" s="19" t="e">
        <f>VLOOKUP('Raw data'!F188,제품명!C:D,2,0)</f>
        <v>#N/A</v>
      </c>
      <c r="G188" s="39" t="e">
        <f>VLOOKUP(F188,제품명!D:E,2,0)</f>
        <v>#N/A</v>
      </c>
      <c r="H188" s="6">
        <f>'Raw data'!K188</f>
        <v>0</v>
      </c>
      <c r="I188" s="13">
        <f>'Raw data'!H188</f>
        <v>0</v>
      </c>
      <c r="J188" s="4">
        <f t="shared" si="2"/>
        <v>0</v>
      </c>
    </row>
    <row r="189" spans="1:10" ht="12" customHeight="1">
      <c r="A189" s="6">
        <f>'Raw data'!O189</f>
        <v>0</v>
      </c>
      <c r="C189" s="9"/>
      <c r="D189" s="7" t="e">
        <f>VLOOKUP('Raw data'!P189,'점포코드 '!A:B,2,0)</f>
        <v>#N/A</v>
      </c>
      <c r="E189" s="18" t="e">
        <f>VLOOKUP(D189,'점포코드 '!B:C,2,0)</f>
        <v>#N/A</v>
      </c>
      <c r="F189" s="19" t="e">
        <f>VLOOKUP('Raw data'!F189,제품명!C:D,2,0)</f>
        <v>#N/A</v>
      </c>
      <c r="G189" s="39" t="e">
        <f>VLOOKUP(F189,제품명!D:E,2,0)</f>
        <v>#N/A</v>
      </c>
      <c r="H189" s="6">
        <f>'Raw data'!K189</f>
        <v>0</v>
      </c>
      <c r="I189" s="13">
        <f>'Raw data'!H189</f>
        <v>0</v>
      </c>
      <c r="J189" s="4">
        <f t="shared" si="2"/>
        <v>0</v>
      </c>
    </row>
    <row r="190" spans="1:10" ht="12" customHeight="1">
      <c r="A190" s="6">
        <f>'Raw data'!O190</f>
        <v>0</v>
      </c>
      <c r="C190" s="9"/>
      <c r="D190" s="7" t="e">
        <f>VLOOKUP('Raw data'!P190,'점포코드 '!A:B,2,0)</f>
        <v>#N/A</v>
      </c>
      <c r="E190" s="18" t="e">
        <f>VLOOKUP(D190,'점포코드 '!B:C,2,0)</f>
        <v>#N/A</v>
      </c>
      <c r="F190" s="19" t="e">
        <f>VLOOKUP('Raw data'!F190,제품명!C:D,2,0)</f>
        <v>#N/A</v>
      </c>
      <c r="G190" s="39" t="e">
        <f>VLOOKUP(F190,제품명!D:E,2,0)</f>
        <v>#N/A</v>
      </c>
      <c r="H190" s="6">
        <f>'Raw data'!K190</f>
        <v>0</v>
      </c>
      <c r="I190" s="13">
        <f>'Raw data'!H190</f>
        <v>0</v>
      </c>
      <c r="J190" s="4">
        <f t="shared" si="2"/>
        <v>0</v>
      </c>
    </row>
    <row r="191" spans="1:10" ht="12" customHeight="1">
      <c r="A191" s="6">
        <f>'Raw data'!O191</f>
        <v>0</v>
      </c>
      <c r="C191" s="9"/>
      <c r="D191" s="7" t="e">
        <f>VLOOKUP('Raw data'!P191,'점포코드 '!A:B,2,0)</f>
        <v>#N/A</v>
      </c>
      <c r="E191" s="18" t="e">
        <f>VLOOKUP(D191,'점포코드 '!B:C,2,0)</f>
        <v>#N/A</v>
      </c>
      <c r="F191" s="19" t="e">
        <f>VLOOKUP('Raw data'!F191,제품명!C:D,2,0)</f>
        <v>#N/A</v>
      </c>
      <c r="G191" s="39" t="e">
        <f>VLOOKUP(F191,제품명!D:E,2,0)</f>
        <v>#N/A</v>
      </c>
      <c r="H191" s="6">
        <f>'Raw data'!K191</f>
        <v>0</v>
      </c>
      <c r="I191" s="13">
        <f>'Raw data'!H191</f>
        <v>0</v>
      </c>
      <c r="J191" s="4">
        <f t="shared" si="2"/>
        <v>0</v>
      </c>
    </row>
    <row r="192" spans="1:10" ht="12" customHeight="1">
      <c r="A192" s="6">
        <f>'Raw data'!O192</f>
        <v>0</v>
      </c>
      <c r="C192" s="9"/>
      <c r="D192" s="7" t="e">
        <f>VLOOKUP('Raw data'!P192,'점포코드 '!A:B,2,0)</f>
        <v>#N/A</v>
      </c>
      <c r="E192" s="18" t="e">
        <f>VLOOKUP(D192,'점포코드 '!B:C,2,0)</f>
        <v>#N/A</v>
      </c>
      <c r="F192" s="19" t="e">
        <f>VLOOKUP('Raw data'!F192,제품명!C:D,2,0)</f>
        <v>#N/A</v>
      </c>
      <c r="G192" s="39" t="e">
        <f>VLOOKUP(F192,제품명!D:E,2,0)</f>
        <v>#N/A</v>
      </c>
      <c r="H192" s="6">
        <f>'Raw data'!K192</f>
        <v>0</v>
      </c>
      <c r="I192" s="13">
        <f>'Raw data'!H192</f>
        <v>0</v>
      </c>
      <c r="J192" s="4">
        <f t="shared" si="2"/>
        <v>0</v>
      </c>
    </row>
    <row r="193" spans="1:10" ht="12" customHeight="1">
      <c r="A193" s="6">
        <f>'Raw data'!O193</f>
        <v>0</v>
      </c>
      <c r="C193" s="9"/>
      <c r="D193" s="7" t="e">
        <f>VLOOKUP('Raw data'!P193,'점포코드 '!A:B,2,0)</f>
        <v>#N/A</v>
      </c>
      <c r="E193" s="18" t="e">
        <f>VLOOKUP(D193,'점포코드 '!B:C,2,0)</f>
        <v>#N/A</v>
      </c>
      <c r="F193" s="19" t="e">
        <f>VLOOKUP('Raw data'!F193,제품명!C:D,2,0)</f>
        <v>#N/A</v>
      </c>
      <c r="G193" s="39" t="e">
        <f>VLOOKUP(F193,제품명!D:E,2,0)</f>
        <v>#N/A</v>
      </c>
      <c r="H193" s="6">
        <f>'Raw data'!K193</f>
        <v>0</v>
      </c>
      <c r="I193" s="13">
        <f>'Raw data'!H193</f>
        <v>0</v>
      </c>
      <c r="J193" s="4">
        <f t="shared" si="2"/>
        <v>0</v>
      </c>
    </row>
    <row r="194" spans="1:10" ht="12" customHeight="1">
      <c r="A194" s="6">
        <f>'Raw data'!O194</f>
        <v>0</v>
      </c>
      <c r="C194" s="9"/>
      <c r="D194" s="7" t="e">
        <f>VLOOKUP('Raw data'!P194,'점포코드 '!A:B,2,0)</f>
        <v>#N/A</v>
      </c>
      <c r="E194" s="18" t="e">
        <f>VLOOKUP(D194,'점포코드 '!B:C,2,0)</f>
        <v>#N/A</v>
      </c>
      <c r="F194" s="19" t="e">
        <f>VLOOKUP('Raw data'!F194,제품명!C:D,2,0)</f>
        <v>#N/A</v>
      </c>
      <c r="G194" s="39" t="e">
        <f>VLOOKUP(F194,제품명!D:E,2,0)</f>
        <v>#N/A</v>
      </c>
      <c r="H194" s="6">
        <f>'Raw data'!K194</f>
        <v>0</v>
      </c>
      <c r="I194" s="13">
        <f>'Raw data'!H194</f>
        <v>0</v>
      </c>
      <c r="J194" s="4">
        <f t="shared" ref="J194:J256" si="3">H194*I194</f>
        <v>0</v>
      </c>
    </row>
    <row r="195" spans="1:10" ht="12" customHeight="1">
      <c r="A195" s="6">
        <f>'Raw data'!O195</f>
        <v>0</v>
      </c>
      <c r="C195" s="9"/>
      <c r="D195" s="7" t="e">
        <f>VLOOKUP('Raw data'!P195,'점포코드 '!A:B,2,0)</f>
        <v>#N/A</v>
      </c>
      <c r="E195" s="18" t="e">
        <f>VLOOKUP(D195,'점포코드 '!B:C,2,0)</f>
        <v>#N/A</v>
      </c>
      <c r="F195" s="19" t="e">
        <f>VLOOKUP('Raw data'!F195,제품명!C:D,2,0)</f>
        <v>#N/A</v>
      </c>
      <c r="G195" s="39" t="e">
        <f>VLOOKUP(F195,제품명!D:E,2,0)</f>
        <v>#N/A</v>
      </c>
      <c r="H195" s="6">
        <f>'Raw data'!K195</f>
        <v>0</v>
      </c>
      <c r="I195" s="13">
        <f>'Raw data'!H195</f>
        <v>0</v>
      </c>
      <c r="J195" s="4">
        <f t="shared" si="3"/>
        <v>0</v>
      </c>
    </row>
    <row r="196" spans="1:10" ht="12" customHeight="1">
      <c r="A196" s="6">
        <f>'Raw data'!O196</f>
        <v>0</v>
      </c>
      <c r="D196" s="7" t="e">
        <f>VLOOKUP('Raw data'!P196,'점포코드 '!A:B,2,0)</f>
        <v>#N/A</v>
      </c>
      <c r="E196" s="18" t="e">
        <f>VLOOKUP(D196,'점포코드 '!B:C,2,0)</f>
        <v>#N/A</v>
      </c>
      <c r="F196" s="19" t="e">
        <f>VLOOKUP('Raw data'!F196,제품명!C:D,2,0)</f>
        <v>#N/A</v>
      </c>
      <c r="G196" s="39" t="e">
        <f>VLOOKUP(F196,제품명!D:E,2,0)</f>
        <v>#N/A</v>
      </c>
      <c r="H196" s="6">
        <f>'Raw data'!K196</f>
        <v>0</v>
      </c>
      <c r="I196" s="13">
        <f>'Raw data'!H196</f>
        <v>0</v>
      </c>
      <c r="J196" s="4">
        <f t="shared" si="3"/>
        <v>0</v>
      </c>
    </row>
    <row r="197" spans="1:10" ht="12" customHeight="1">
      <c r="A197" s="6">
        <f>'Raw data'!O197</f>
        <v>0</v>
      </c>
      <c r="D197" s="7" t="e">
        <f>VLOOKUP('Raw data'!P197,'점포코드 '!A:B,2,0)</f>
        <v>#N/A</v>
      </c>
      <c r="E197" s="18" t="e">
        <f>VLOOKUP(D197,'점포코드 '!B:C,2,0)</f>
        <v>#N/A</v>
      </c>
      <c r="F197" s="19" t="e">
        <f>VLOOKUP('Raw data'!F197,제품명!C:D,2,0)</f>
        <v>#N/A</v>
      </c>
      <c r="G197" s="39" t="e">
        <f>VLOOKUP(F197,제품명!D:E,2,0)</f>
        <v>#N/A</v>
      </c>
      <c r="H197" s="6">
        <f>'Raw data'!K197</f>
        <v>0</v>
      </c>
      <c r="I197" s="13">
        <f>'Raw data'!H197</f>
        <v>0</v>
      </c>
      <c r="J197" s="4">
        <f t="shared" si="3"/>
        <v>0</v>
      </c>
    </row>
    <row r="198" spans="1:10" ht="12" customHeight="1">
      <c r="A198" s="6">
        <f>'Raw data'!O198</f>
        <v>0</v>
      </c>
      <c r="D198" s="7" t="e">
        <f>VLOOKUP('Raw data'!P198,'점포코드 '!A:B,2,0)</f>
        <v>#N/A</v>
      </c>
      <c r="E198" s="18" t="e">
        <f>VLOOKUP(D198,'점포코드 '!B:C,2,0)</f>
        <v>#N/A</v>
      </c>
      <c r="F198" s="19" t="e">
        <f>VLOOKUP('Raw data'!F198,제품명!C:D,2,0)</f>
        <v>#N/A</v>
      </c>
      <c r="G198" s="39" t="e">
        <f>VLOOKUP(F198,제품명!D:E,2,0)</f>
        <v>#N/A</v>
      </c>
      <c r="H198" s="6">
        <f>'Raw data'!K198</f>
        <v>0</v>
      </c>
      <c r="I198" s="13">
        <f>'Raw data'!H198</f>
        <v>0</v>
      </c>
      <c r="J198" s="4">
        <f t="shared" si="3"/>
        <v>0</v>
      </c>
    </row>
    <row r="199" spans="1:10" ht="12" customHeight="1">
      <c r="A199" s="6">
        <f>'Raw data'!O199</f>
        <v>0</v>
      </c>
      <c r="D199" s="7" t="e">
        <f>VLOOKUP('Raw data'!P199,'점포코드 '!A:B,2,0)</f>
        <v>#N/A</v>
      </c>
      <c r="E199" s="18" t="e">
        <f>VLOOKUP(D199,'점포코드 '!B:C,2,0)</f>
        <v>#N/A</v>
      </c>
      <c r="F199" s="19" t="e">
        <f>VLOOKUP('Raw data'!F199,제품명!C:D,2,0)</f>
        <v>#N/A</v>
      </c>
      <c r="G199" s="39" t="e">
        <f>VLOOKUP(F199,제품명!D:E,2,0)</f>
        <v>#N/A</v>
      </c>
      <c r="H199" s="6">
        <f>'Raw data'!K199</f>
        <v>0</v>
      </c>
      <c r="I199" s="13">
        <f>'Raw data'!H199</f>
        <v>0</v>
      </c>
      <c r="J199" s="4">
        <f t="shared" si="3"/>
        <v>0</v>
      </c>
    </row>
    <row r="200" spans="1:10" ht="12" customHeight="1">
      <c r="A200" s="6">
        <f>'Raw data'!O200</f>
        <v>0</v>
      </c>
      <c r="D200" s="7" t="e">
        <f>VLOOKUP('Raw data'!P200,'점포코드 '!A:B,2,0)</f>
        <v>#N/A</v>
      </c>
      <c r="E200" s="18" t="e">
        <f>VLOOKUP(D200,'점포코드 '!B:C,2,0)</f>
        <v>#N/A</v>
      </c>
      <c r="F200" s="19" t="e">
        <f>VLOOKUP('Raw data'!F200,제품명!C:D,2,0)</f>
        <v>#N/A</v>
      </c>
      <c r="G200" s="39" t="e">
        <f>VLOOKUP(F200,제품명!D:E,2,0)</f>
        <v>#N/A</v>
      </c>
      <c r="H200" s="6">
        <f>'Raw data'!K200</f>
        <v>0</v>
      </c>
      <c r="I200" s="13">
        <f>'Raw data'!H200</f>
        <v>0</v>
      </c>
      <c r="J200" s="4">
        <f t="shared" si="3"/>
        <v>0</v>
      </c>
    </row>
    <row r="201" spans="1:10" ht="12" customHeight="1">
      <c r="A201" s="6">
        <f>'Raw data'!O201</f>
        <v>0</v>
      </c>
      <c r="D201" s="7" t="e">
        <f>VLOOKUP('Raw data'!P201,'점포코드 '!A:B,2,0)</f>
        <v>#N/A</v>
      </c>
      <c r="E201" s="18" t="e">
        <f>VLOOKUP(D201,'점포코드 '!B:C,2,0)</f>
        <v>#N/A</v>
      </c>
      <c r="F201" s="19" t="e">
        <f>VLOOKUP('Raw data'!F201,제품명!C:D,2,0)</f>
        <v>#N/A</v>
      </c>
      <c r="G201" s="39" t="e">
        <f>VLOOKUP(F201,제품명!D:E,2,0)</f>
        <v>#N/A</v>
      </c>
      <c r="H201" s="6">
        <f>'Raw data'!K201</f>
        <v>0</v>
      </c>
      <c r="I201" s="13">
        <f>'Raw data'!H201</f>
        <v>0</v>
      </c>
      <c r="J201" s="4">
        <f t="shared" si="3"/>
        <v>0</v>
      </c>
    </row>
    <row r="202" spans="1:10" ht="12" customHeight="1">
      <c r="A202" s="6">
        <f>'Raw data'!O202</f>
        <v>0</v>
      </c>
      <c r="D202" s="7" t="e">
        <f>VLOOKUP('Raw data'!P202,'점포코드 '!A:B,2,0)</f>
        <v>#N/A</v>
      </c>
      <c r="E202" s="18" t="e">
        <f>VLOOKUP(D202,'점포코드 '!B:C,2,0)</f>
        <v>#N/A</v>
      </c>
      <c r="F202" s="19" t="e">
        <f>VLOOKUP('Raw data'!F202,제품명!C:D,2,0)</f>
        <v>#N/A</v>
      </c>
      <c r="G202" s="39" t="e">
        <f>VLOOKUP(F202,제품명!D:E,2,0)</f>
        <v>#N/A</v>
      </c>
      <c r="H202" s="6">
        <f>'Raw data'!K202</f>
        <v>0</v>
      </c>
      <c r="I202" s="13">
        <f>'Raw data'!H202</f>
        <v>0</v>
      </c>
      <c r="J202" s="4">
        <f t="shared" si="3"/>
        <v>0</v>
      </c>
    </row>
    <row r="203" spans="1:10" ht="12" customHeight="1">
      <c r="A203" s="6">
        <f>'Raw data'!O203</f>
        <v>0</v>
      </c>
      <c r="D203" s="7" t="e">
        <f>VLOOKUP('Raw data'!P203,'점포코드 '!A:B,2,0)</f>
        <v>#N/A</v>
      </c>
      <c r="E203" s="18" t="e">
        <f>VLOOKUP(D203,'점포코드 '!B:C,2,0)</f>
        <v>#N/A</v>
      </c>
      <c r="F203" s="19" t="e">
        <f>VLOOKUP('Raw data'!F203,제품명!C:D,2,0)</f>
        <v>#N/A</v>
      </c>
      <c r="G203" s="39" t="e">
        <f>VLOOKUP(F203,제품명!D:E,2,0)</f>
        <v>#N/A</v>
      </c>
      <c r="H203" s="6">
        <f>'Raw data'!K203</f>
        <v>0</v>
      </c>
      <c r="I203" s="13">
        <f>'Raw data'!H203</f>
        <v>0</v>
      </c>
      <c r="J203" s="4">
        <f t="shared" si="3"/>
        <v>0</v>
      </c>
    </row>
    <row r="204" spans="1:10" ht="12" customHeight="1">
      <c r="A204" s="6">
        <f>'Raw data'!O204</f>
        <v>0</v>
      </c>
      <c r="D204" s="7" t="e">
        <f>VLOOKUP('Raw data'!P204,'점포코드 '!A:B,2,0)</f>
        <v>#N/A</v>
      </c>
      <c r="E204" s="18" t="e">
        <f>VLOOKUP(D204,'점포코드 '!B:C,2,0)</f>
        <v>#N/A</v>
      </c>
      <c r="F204" s="19" t="e">
        <f>VLOOKUP('Raw data'!F204,제품명!C:D,2,0)</f>
        <v>#N/A</v>
      </c>
      <c r="G204" s="39" t="e">
        <f>VLOOKUP(F204,제품명!D:E,2,0)</f>
        <v>#N/A</v>
      </c>
      <c r="H204" s="6">
        <f>'Raw data'!K204</f>
        <v>0</v>
      </c>
      <c r="I204" s="13">
        <f>'Raw data'!H204</f>
        <v>0</v>
      </c>
      <c r="J204" s="4">
        <f t="shared" si="3"/>
        <v>0</v>
      </c>
    </row>
    <row r="205" spans="1:10" ht="12" customHeight="1">
      <c r="A205" s="6">
        <f>'Raw data'!O205</f>
        <v>0</v>
      </c>
      <c r="D205" s="7" t="e">
        <f>VLOOKUP('Raw data'!P205,'점포코드 '!A:B,2,0)</f>
        <v>#N/A</v>
      </c>
      <c r="E205" s="18" t="e">
        <f>VLOOKUP(D205,'점포코드 '!B:C,2,0)</f>
        <v>#N/A</v>
      </c>
      <c r="F205" s="19" t="e">
        <f>VLOOKUP('Raw data'!F205,제품명!C:D,2,0)</f>
        <v>#N/A</v>
      </c>
      <c r="G205" s="39" t="e">
        <f>VLOOKUP(F205,제품명!D:E,2,0)</f>
        <v>#N/A</v>
      </c>
      <c r="H205" s="6">
        <f>'Raw data'!K205</f>
        <v>0</v>
      </c>
      <c r="I205" s="13">
        <f>'Raw data'!H205</f>
        <v>0</v>
      </c>
      <c r="J205" s="4">
        <f t="shared" si="3"/>
        <v>0</v>
      </c>
    </row>
    <row r="206" spans="1:10" ht="12" customHeight="1">
      <c r="A206" s="6">
        <f>'Raw data'!O206</f>
        <v>0</v>
      </c>
      <c r="D206" s="7" t="e">
        <f>VLOOKUP('Raw data'!P206,'점포코드 '!A:B,2,0)</f>
        <v>#N/A</v>
      </c>
      <c r="E206" s="18" t="e">
        <f>VLOOKUP(D206,'점포코드 '!B:C,2,0)</f>
        <v>#N/A</v>
      </c>
      <c r="F206" s="19" t="e">
        <f>VLOOKUP('Raw data'!F206,제품명!C:D,2,0)</f>
        <v>#N/A</v>
      </c>
      <c r="G206" s="39" t="e">
        <f>VLOOKUP(F206,제품명!D:E,2,0)</f>
        <v>#N/A</v>
      </c>
      <c r="H206" s="6">
        <f>'Raw data'!K206</f>
        <v>0</v>
      </c>
      <c r="I206" s="13">
        <f>'Raw data'!H206</f>
        <v>0</v>
      </c>
      <c r="J206" s="4">
        <f t="shared" si="3"/>
        <v>0</v>
      </c>
    </row>
    <row r="207" spans="1:10" ht="12" customHeight="1">
      <c r="A207" s="6">
        <f>'Raw data'!O207</f>
        <v>0</v>
      </c>
      <c r="D207" s="7" t="e">
        <f>VLOOKUP('Raw data'!P207,'점포코드 '!A:B,2,0)</f>
        <v>#N/A</v>
      </c>
      <c r="E207" s="18" t="e">
        <f>VLOOKUP(D207,'점포코드 '!B:C,2,0)</f>
        <v>#N/A</v>
      </c>
      <c r="F207" s="19" t="e">
        <f>VLOOKUP('Raw data'!F207,제품명!C:D,2,0)</f>
        <v>#N/A</v>
      </c>
      <c r="G207" s="39" t="e">
        <f>VLOOKUP(F207,제품명!D:E,2,0)</f>
        <v>#N/A</v>
      </c>
      <c r="H207" s="6">
        <f>'Raw data'!K207</f>
        <v>0</v>
      </c>
      <c r="I207" s="13">
        <f>'Raw data'!H207</f>
        <v>0</v>
      </c>
      <c r="J207" s="4">
        <f t="shared" si="3"/>
        <v>0</v>
      </c>
    </row>
    <row r="208" spans="1:10" ht="12" customHeight="1">
      <c r="A208" s="6">
        <f>'Raw data'!O208</f>
        <v>0</v>
      </c>
      <c r="D208" s="7" t="e">
        <f>VLOOKUP('Raw data'!P208,'점포코드 '!A:B,2,0)</f>
        <v>#N/A</v>
      </c>
      <c r="E208" s="18" t="e">
        <f>VLOOKUP(D208,'점포코드 '!B:C,2,0)</f>
        <v>#N/A</v>
      </c>
      <c r="F208" s="19" t="e">
        <f>VLOOKUP('Raw data'!F208,제품명!C:D,2,0)</f>
        <v>#N/A</v>
      </c>
      <c r="G208" s="39" t="e">
        <f>VLOOKUP(F208,제품명!D:E,2,0)</f>
        <v>#N/A</v>
      </c>
      <c r="H208" s="6">
        <f>'Raw data'!K208</f>
        <v>0</v>
      </c>
      <c r="I208" s="13">
        <f>'Raw data'!H208</f>
        <v>0</v>
      </c>
      <c r="J208" s="4">
        <f t="shared" si="3"/>
        <v>0</v>
      </c>
    </row>
    <row r="209" spans="1:10" ht="12" customHeight="1">
      <c r="A209" s="6">
        <f>'Raw data'!O209</f>
        <v>0</v>
      </c>
      <c r="D209" s="7" t="e">
        <f>VLOOKUP('Raw data'!P209,'점포코드 '!A:B,2,0)</f>
        <v>#N/A</v>
      </c>
      <c r="E209" s="18" t="e">
        <f>VLOOKUP(D209,'점포코드 '!B:C,2,0)</f>
        <v>#N/A</v>
      </c>
      <c r="F209" s="19" t="e">
        <f>VLOOKUP('Raw data'!F209,제품명!C:D,2,0)</f>
        <v>#N/A</v>
      </c>
      <c r="G209" s="39" t="e">
        <f>VLOOKUP(F209,제품명!D:E,2,0)</f>
        <v>#N/A</v>
      </c>
      <c r="H209" s="6">
        <f>'Raw data'!K209</f>
        <v>0</v>
      </c>
      <c r="I209" s="13">
        <f>'Raw data'!H209</f>
        <v>0</v>
      </c>
      <c r="J209" s="4">
        <f t="shared" si="3"/>
        <v>0</v>
      </c>
    </row>
    <row r="210" spans="1:10" ht="12" customHeight="1">
      <c r="A210" s="6">
        <f>'Raw data'!O210</f>
        <v>0</v>
      </c>
      <c r="D210" s="7" t="e">
        <f>VLOOKUP('Raw data'!P210,'점포코드 '!A:B,2,0)</f>
        <v>#N/A</v>
      </c>
      <c r="E210" s="18" t="e">
        <f>VLOOKUP(D210,'점포코드 '!B:C,2,0)</f>
        <v>#N/A</v>
      </c>
      <c r="F210" s="19" t="e">
        <f>VLOOKUP('Raw data'!F210,제품명!C:D,2,0)</f>
        <v>#N/A</v>
      </c>
      <c r="G210" s="39" t="e">
        <f>VLOOKUP(F210,제품명!D:E,2,0)</f>
        <v>#N/A</v>
      </c>
      <c r="H210" s="6">
        <f>'Raw data'!K210</f>
        <v>0</v>
      </c>
      <c r="I210" s="13">
        <f>'Raw data'!H210</f>
        <v>0</v>
      </c>
      <c r="J210" s="4">
        <f t="shared" si="3"/>
        <v>0</v>
      </c>
    </row>
    <row r="211" spans="1:10" ht="12" customHeight="1">
      <c r="A211" s="6">
        <f>'Raw data'!O211</f>
        <v>0</v>
      </c>
      <c r="D211" s="7" t="e">
        <f>VLOOKUP('Raw data'!P211,'점포코드 '!A:B,2,0)</f>
        <v>#N/A</v>
      </c>
      <c r="E211" s="18" t="e">
        <f>VLOOKUP(D211,'점포코드 '!B:C,2,0)</f>
        <v>#N/A</v>
      </c>
      <c r="F211" s="19" t="e">
        <f>VLOOKUP('Raw data'!F211,제품명!C:D,2,0)</f>
        <v>#N/A</v>
      </c>
      <c r="G211" s="39" t="e">
        <f>VLOOKUP(F211,제품명!D:E,2,0)</f>
        <v>#N/A</v>
      </c>
      <c r="H211" s="6">
        <f>'Raw data'!K211</f>
        <v>0</v>
      </c>
      <c r="I211" s="13">
        <f>'Raw data'!H211</f>
        <v>0</v>
      </c>
      <c r="J211" s="4">
        <f t="shared" si="3"/>
        <v>0</v>
      </c>
    </row>
    <row r="212" spans="1:10" ht="12" customHeight="1">
      <c r="A212" s="6">
        <f>'Raw data'!O212</f>
        <v>0</v>
      </c>
      <c r="D212" s="7" t="e">
        <f>VLOOKUP('Raw data'!P212,'점포코드 '!A:B,2,0)</f>
        <v>#N/A</v>
      </c>
      <c r="E212" s="18" t="e">
        <f>VLOOKUP(D212,'점포코드 '!B:C,2,0)</f>
        <v>#N/A</v>
      </c>
      <c r="F212" s="19" t="e">
        <f>VLOOKUP('Raw data'!F212,제품명!C:D,2,0)</f>
        <v>#N/A</v>
      </c>
      <c r="G212" s="39" t="e">
        <f>VLOOKUP(F212,제품명!D:E,2,0)</f>
        <v>#N/A</v>
      </c>
      <c r="H212" s="6">
        <f>'Raw data'!K212</f>
        <v>0</v>
      </c>
      <c r="I212" s="13">
        <f>'Raw data'!H212</f>
        <v>0</v>
      </c>
      <c r="J212" s="4">
        <f t="shared" si="3"/>
        <v>0</v>
      </c>
    </row>
    <row r="213" spans="1:10" ht="12" customHeight="1">
      <c r="A213" s="6">
        <f>'Raw data'!O213</f>
        <v>0</v>
      </c>
      <c r="D213" s="7" t="e">
        <f>VLOOKUP('Raw data'!P213,'점포코드 '!A:B,2,0)</f>
        <v>#N/A</v>
      </c>
      <c r="E213" s="18" t="e">
        <f>VLOOKUP(D213,'점포코드 '!B:C,2,0)</f>
        <v>#N/A</v>
      </c>
      <c r="F213" s="19" t="e">
        <f>VLOOKUP('Raw data'!F213,제품명!C:D,2,0)</f>
        <v>#N/A</v>
      </c>
      <c r="G213" s="39" t="e">
        <f>VLOOKUP(F213,제품명!D:E,2,0)</f>
        <v>#N/A</v>
      </c>
      <c r="H213" s="6">
        <f>'Raw data'!K213</f>
        <v>0</v>
      </c>
      <c r="I213" s="13">
        <f>'Raw data'!H213</f>
        <v>0</v>
      </c>
      <c r="J213" s="4">
        <f t="shared" si="3"/>
        <v>0</v>
      </c>
    </row>
    <row r="214" spans="1:10" ht="12" customHeight="1">
      <c r="A214" s="6">
        <f>'Raw data'!O214</f>
        <v>0</v>
      </c>
      <c r="D214" s="7" t="e">
        <f>VLOOKUP('Raw data'!P214,'점포코드 '!A:B,2,0)</f>
        <v>#N/A</v>
      </c>
      <c r="E214" s="18" t="e">
        <f>VLOOKUP(D214,'점포코드 '!B:C,2,0)</f>
        <v>#N/A</v>
      </c>
      <c r="F214" s="19" t="e">
        <f>VLOOKUP('Raw data'!F214,제품명!C:D,2,0)</f>
        <v>#N/A</v>
      </c>
      <c r="G214" s="39" t="e">
        <f>VLOOKUP(F214,제품명!D:E,2,0)</f>
        <v>#N/A</v>
      </c>
      <c r="H214" s="6">
        <f>'Raw data'!K214</f>
        <v>0</v>
      </c>
      <c r="I214" s="13">
        <f>'Raw data'!H214</f>
        <v>0</v>
      </c>
      <c r="J214" s="4">
        <f t="shared" si="3"/>
        <v>0</v>
      </c>
    </row>
    <row r="215" spans="1:10" ht="12" customHeight="1">
      <c r="A215" s="6">
        <f>'Raw data'!O215</f>
        <v>0</v>
      </c>
      <c r="D215" s="7" t="e">
        <f>VLOOKUP('Raw data'!P215,'점포코드 '!A:B,2,0)</f>
        <v>#N/A</v>
      </c>
      <c r="E215" s="18" t="e">
        <f>VLOOKUP(D215,'점포코드 '!B:C,2,0)</f>
        <v>#N/A</v>
      </c>
      <c r="F215" s="19" t="e">
        <f>VLOOKUP('Raw data'!F215,제품명!C:D,2,0)</f>
        <v>#N/A</v>
      </c>
      <c r="G215" s="39" t="e">
        <f>VLOOKUP(F215,제품명!D:E,2,0)</f>
        <v>#N/A</v>
      </c>
      <c r="H215" s="6">
        <f>'Raw data'!K215</f>
        <v>0</v>
      </c>
      <c r="I215" s="13">
        <f>'Raw data'!H215</f>
        <v>0</v>
      </c>
      <c r="J215" s="4">
        <f t="shared" si="3"/>
        <v>0</v>
      </c>
    </row>
    <row r="216" spans="1:10" ht="12" customHeight="1">
      <c r="A216" s="6">
        <f>'Raw data'!O216</f>
        <v>0</v>
      </c>
      <c r="D216" s="7" t="e">
        <f>VLOOKUP('Raw data'!P216,'점포코드 '!A:B,2,0)</f>
        <v>#N/A</v>
      </c>
      <c r="E216" s="18" t="e">
        <f>VLOOKUP(D216,'점포코드 '!B:C,2,0)</f>
        <v>#N/A</v>
      </c>
      <c r="F216" s="19" t="e">
        <f>VLOOKUP('Raw data'!F216,제품명!C:D,2,0)</f>
        <v>#N/A</v>
      </c>
      <c r="G216" s="39" t="e">
        <f>VLOOKUP(F216,제품명!D:E,2,0)</f>
        <v>#N/A</v>
      </c>
      <c r="H216" s="6">
        <f>'Raw data'!K216</f>
        <v>0</v>
      </c>
      <c r="I216" s="13">
        <f>'Raw data'!H216</f>
        <v>0</v>
      </c>
      <c r="J216" s="4">
        <f t="shared" si="3"/>
        <v>0</v>
      </c>
    </row>
    <row r="217" spans="1:10" ht="12" customHeight="1">
      <c r="A217" s="6">
        <f>'Raw data'!O217</f>
        <v>0</v>
      </c>
      <c r="D217" s="7" t="e">
        <f>VLOOKUP('Raw data'!P217,'점포코드 '!A:B,2,0)</f>
        <v>#N/A</v>
      </c>
      <c r="E217" s="18" t="e">
        <f>VLOOKUP(D217,'점포코드 '!B:C,2,0)</f>
        <v>#N/A</v>
      </c>
      <c r="F217" s="19" t="e">
        <f>VLOOKUP('Raw data'!F217,제품명!C:D,2,0)</f>
        <v>#N/A</v>
      </c>
      <c r="G217" s="39" t="e">
        <f>VLOOKUP(F217,제품명!D:E,2,0)</f>
        <v>#N/A</v>
      </c>
      <c r="H217" s="6">
        <f>'Raw data'!K217</f>
        <v>0</v>
      </c>
      <c r="I217" s="13">
        <f>'Raw data'!H217</f>
        <v>0</v>
      </c>
      <c r="J217" s="4">
        <f t="shared" si="3"/>
        <v>0</v>
      </c>
    </row>
    <row r="218" spans="1:10" ht="12" customHeight="1">
      <c r="A218" s="6">
        <f>'Raw data'!O218</f>
        <v>0</v>
      </c>
      <c r="D218" s="7" t="e">
        <f>VLOOKUP('Raw data'!P218,'점포코드 '!A:B,2,0)</f>
        <v>#N/A</v>
      </c>
      <c r="E218" s="18" t="e">
        <f>VLOOKUP(D218,'점포코드 '!B:C,2,0)</f>
        <v>#N/A</v>
      </c>
      <c r="F218" s="19" t="e">
        <f>VLOOKUP('Raw data'!F218,제품명!C:D,2,0)</f>
        <v>#N/A</v>
      </c>
      <c r="G218" s="39" t="e">
        <f>VLOOKUP(F218,제품명!D:E,2,0)</f>
        <v>#N/A</v>
      </c>
      <c r="H218" s="6">
        <f>'Raw data'!K218</f>
        <v>0</v>
      </c>
      <c r="I218" s="13">
        <f>'Raw data'!H218</f>
        <v>0</v>
      </c>
      <c r="J218" s="4">
        <f t="shared" si="3"/>
        <v>0</v>
      </c>
    </row>
    <row r="219" spans="1:10" ht="12" customHeight="1">
      <c r="A219" s="6">
        <f>'Raw data'!O219</f>
        <v>0</v>
      </c>
      <c r="D219" s="7" t="e">
        <f>VLOOKUP('Raw data'!P219,'점포코드 '!A:B,2,0)</f>
        <v>#N/A</v>
      </c>
      <c r="E219" s="18" t="e">
        <f>VLOOKUP(D219,'점포코드 '!B:C,2,0)</f>
        <v>#N/A</v>
      </c>
      <c r="F219" s="19" t="e">
        <f>VLOOKUP('Raw data'!F219,제품명!C:D,2,0)</f>
        <v>#N/A</v>
      </c>
      <c r="G219" s="39" t="e">
        <f>VLOOKUP(F219,제품명!D:E,2,0)</f>
        <v>#N/A</v>
      </c>
      <c r="H219" s="6">
        <f>'Raw data'!K219</f>
        <v>0</v>
      </c>
      <c r="I219" s="13">
        <f>'Raw data'!H219</f>
        <v>0</v>
      </c>
      <c r="J219" s="4">
        <f t="shared" si="3"/>
        <v>0</v>
      </c>
    </row>
    <row r="220" spans="1:10" ht="12" customHeight="1">
      <c r="A220" s="6">
        <f>'Raw data'!O220</f>
        <v>0</v>
      </c>
      <c r="D220" s="7" t="e">
        <f>VLOOKUP('Raw data'!P220,'점포코드 '!A:B,2,0)</f>
        <v>#N/A</v>
      </c>
      <c r="E220" s="18" t="e">
        <f>VLOOKUP(D220,'점포코드 '!B:C,2,0)</f>
        <v>#N/A</v>
      </c>
      <c r="F220" s="19" t="e">
        <f>VLOOKUP('Raw data'!F220,제품명!C:D,2,0)</f>
        <v>#N/A</v>
      </c>
      <c r="G220" s="39" t="e">
        <f>VLOOKUP(F220,제품명!D:E,2,0)</f>
        <v>#N/A</v>
      </c>
      <c r="H220" s="6">
        <f>'Raw data'!K220</f>
        <v>0</v>
      </c>
      <c r="I220" s="13">
        <f>'Raw data'!H220</f>
        <v>0</v>
      </c>
      <c r="J220" s="4">
        <f t="shared" si="3"/>
        <v>0</v>
      </c>
    </row>
    <row r="221" spans="1:10" ht="12" customHeight="1">
      <c r="A221" s="6">
        <f>'Raw data'!O221</f>
        <v>0</v>
      </c>
      <c r="D221" s="7" t="e">
        <f>VLOOKUP('Raw data'!P221,'점포코드 '!A:B,2,0)</f>
        <v>#N/A</v>
      </c>
      <c r="E221" s="18" t="e">
        <f>VLOOKUP(D221,'점포코드 '!B:C,2,0)</f>
        <v>#N/A</v>
      </c>
      <c r="F221" s="19" t="e">
        <f>VLOOKUP('Raw data'!F221,제품명!C:D,2,0)</f>
        <v>#N/A</v>
      </c>
      <c r="G221" s="39" t="e">
        <f>VLOOKUP(F221,제품명!D:E,2,0)</f>
        <v>#N/A</v>
      </c>
      <c r="H221" s="6">
        <f>'Raw data'!K221</f>
        <v>0</v>
      </c>
      <c r="I221" s="13">
        <f>'Raw data'!H221</f>
        <v>0</v>
      </c>
      <c r="J221" s="4">
        <f t="shared" si="3"/>
        <v>0</v>
      </c>
    </row>
    <row r="222" spans="1:10" ht="12" customHeight="1">
      <c r="A222" s="6">
        <f>'Raw data'!O222</f>
        <v>0</v>
      </c>
      <c r="D222" s="7" t="e">
        <f>VLOOKUP('Raw data'!P222,'점포코드 '!A:B,2,0)</f>
        <v>#N/A</v>
      </c>
      <c r="E222" s="18" t="e">
        <f>VLOOKUP(D222,'점포코드 '!B:C,2,0)</f>
        <v>#N/A</v>
      </c>
      <c r="F222" s="19" t="e">
        <f>VLOOKUP('Raw data'!F222,제품명!C:D,2,0)</f>
        <v>#N/A</v>
      </c>
      <c r="G222" s="39" t="e">
        <f>VLOOKUP(F222,제품명!D:E,2,0)</f>
        <v>#N/A</v>
      </c>
      <c r="H222" s="6">
        <f>'Raw data'!K222</f>
        <v>0</v>
      </c>
      <c r="I222" s="13">
        <f>'Raw data'!H222</f>
        <v>0</v>
      </c>
      <c r="J222" s="4">
        <f t="shared" si="3"/>
        <v>0</v>
      </c>
    </row>
    <row r="223" spans="1:10" ht="12" customHeight="1">
      <c r="A223" s="6">
        <f>'Raw data'!O223</f>
        <v>0</v>
      </c>
      <c r="D223" s="7" t="e">
        <f>VLOOKUP('Raw data'!P223,'점포코드 '!A:B,2,0)</f>
        <v>#N/A</v>
      </c>
      <c r="E223" s="18" t="e">
        <f>VLOOKUP(D223,'점포코드 '!B:C,2,0)</f>
        <v>#N/A</v>
      </c>
      <c r="F223" s="19" t="e">
        <f>VLOOKUP('Raw data'!F223,제품명!C:D,2,0)</f>
        <v>#N/A</v>
      </c>
      <c r="G223" s="39" t="e">
        <f>VLOOKUP(F223,제품명!D:E,2,0)</f>
        <v>#N/A</v>
      </c>
      <c r="H223" s="6">
        <f>'Raw data'!K223</f>
        <v>0</v>
      </c>
      <c r="I223" s="13">
        <f>'Raw data'!H223</f>
        <v>0</v>
      </c>
      <c r="J223" s="4">
        <f t="shared" si="3"/>
        <v>0</v>
      </c>
    </row>
    <row r="224" spans="1:10" ht="12" customHeight="1">
      <c r="A224" s="6">
        <f>'Raw data'!O224</f>
        <v>0</v>
      </c>
      <c r="D224" s="7" t="e">
        <f>VLOOKUP('Raw data'!P224,'점포코드 '!A:B,2,0)</f>
        <v>#N/A</v>
      </c>
      <c r="E224" s="18" t="e">
        <f>VLOOKUP(D224,'점포코드 '!B:C,2,0)</f>
        <v>#N/A</v>
      </c>
      <c r="F224" s="19" t="e">
        <f>VLOOKUP('Raw data'!F224,제품명!C:D,2,0)</f>
        <v>#N/A</v>
      </c>
      <c r="G224" s="39" t="e">
        <f>VLOOKUP(F224,제품명!D:E,2,0)</f>
        <v>#N/A</v>
      </c>
      <c r="H224" s="6">
        <f>'Raw data'!K224</f>
        <v>0</v>
      </c>
      <c r="I224" s="13">
        <f>'Raw data'!H224</f>
        <v>0</v>
      </c>
      <c r="J224" s="4">
        <f t="shared" si="3"/>
        <v>0</v>
      </c>
    </row>
    <row r="225" spans="1:10" ht="12" customHeight="1">
      <c r="A225" s="6">
        <f>'Raw data'!O225</f>
        <v>0</v>
      </c>
      <c r="D225" s="7" t="e">
        <f>VLOOKUP('Raw data'!P225,'점포코드 '!A:B,2,0)</f>
        <v>#N/A</v>
      </c>
      <c r="E225" s="18" t="e">
        <f>VLOOKUP(D225,'점포코드 '!B:C,2,0)</f>
        <v>#N/A</v>
      </c>
      <c r="F225" s="19" t="e">
        <f>VLOOKUP('Raw data'!F225,제품명!C:D,2,0)</f>
        <v>#N/A</v>
      </c>
      <c r="G225" s="39" t="e">
        <f>VLOOKUP(F225,제품명!D:E,2,0)</f>
        <v>#N/A</v>
      </c>
      <c r="H225" s="6">
        <f>'Raw data'!K225</f>
        <v>0</v>
      </c>
      <c r="I225" s="13">
        <f>'Raw data'!H225</f>
        <v>0</v>
      </c>
      <c r="J225" s="4">
        <f t="shared" si="3"/>
        <v>0</v>
      </c>
    </row>
    <row r="226" spans="1:10" ht="12" customHeight="1">
      <c r="A226" s="6">
        <f>'Raw data'!O226</f>
        <v>0</v>
      </c>
      <c r="D226" s="7" t="e">
        <f>VLOOKUP('Raw data'!P226,'점포코드 '!A:B,2,0)</f>
        <v>#N/A</v>
      </c>
      <c r="E226" s="18" t="e">
        <f>VLOOKUP(D226,'점포코드 '!B:C,2,0)</f>
        <v>#N/A</v>
      </c>
      <c r="F226" s="19" t="e">
        <f>VLOOKUP('Raw data'!F226,제품명!C:D,2,0)</f>
        <v>#N/A</v>
      </c>
      <c r="G226" s="39" t="e">
        <f>VLOOKUP(F226,제품명!D:E,2,0)</f>
        <v>#N/A</v>
      </c>
      <c r="H226" s="6">
        <f>'Raw data'!K226</f>
        <v>0</v>
      </c>
      <c r="I226" s="13">
        <f>'Raw data'!H226</f>
        <v>0</v>
      </c>
      <c r="J226" s="4">
        <f t="shared" si="3"/>
        <v>0</v>
      </c>
    </row>
    <row r="227" spans="1:10" ht="12" customHeight="1">
      <c r="A227" s="6">
        <f>'Raw data'!O227</f>
        <v>0</v>
      </c>
      <c r="D227" s="7" t="e">
        <f>VLOOKUP('Raw data'!P227,'점포코드 '!A:B,2,0)</f>
        <v>#N/A</v>
      </c>
      <c r="E227" s="18" t="e">
        <f>VLOOKUP(D227,'점포코드 '!B:C,2,0)</f>
        <v>#N/A</v>
      </c>
      <c r="F227" s="19" t="e">
        <f>VLOOKUP('Raw data'!F227,제품명!C:D,2,0)</f>
        <v>#N/A</v>
      </c>
      <c r="G227" s="39" t="e">
        <f>VLOOKUP(F227,제품명!D:E,2,0)</f>
        <v>#N/A</v>
      </c>
      <c r="H227" s="6">
        <f>'Raw data'!K227</f>
        <v>0</v>
      </c>
      <c r="I227" s="13">
        <f>'Raw data'!H227</f>
        <v>0</v>
      </c>
      <c r="J227" s="4">
        <f t="shared" si="3"/>
        <v>0</v>
      </c>
    </row>
    <row r="228" spans="1:10" ht="12" customHeight="1">
      <c r="A228" s="6">
        <f>'Raw data'!O228</f>
        <v>0</v>
      </c>
      <c r="D228" s="7" t="e">
        <f>VLOOKUP('Raw data'!P228,'점포코드 '!A:B,2,0)</f>
        <v>#N/A</v>
      </c>
      <c r="E228" s="18" t="e">
        <f>VLOOKUP(D228,'점포코드 '!B:C,2,0)</f>
        <v>#N/A</v>
      </c>
      <c r="F228" s="19" t="e">
        <f>VLOOKUP('Raw data'!F228,제품명!C:D,2,0)</f>
        <v>#N/A</v>
      </c>
      <c r="G228" s="39" t="e">
        <f>VLOOKUP(F228,제품명!D:E,2,0)</f>
        <v>#N/A</v>
      </c>
      <c r="H228" s="6">
        <f>'Raw data'!K228</f>
        <v>0</v>
      </c>
      <c r="I228" s="13">
        <f>'Raw data'!H228</f>
        <v>0</v>
      </c>
      <c r="J228" s="4">
        <f t="shared" si="3"/>
        <v>0</v>
      </c>
    </row>
    <row r="229" spans="1:10" ht="12" customHeight="1">
      <c r="A229" s="6">
        <f>'Raw data'!O229</f>
        <v>0</v>
      </c>
      <c r="D229" s="7" t="e">
        <f>VLOOKUP('Raw data'!P229,'점포코드 '!A:B,2,0)</f>
        <v>#N/A</v>
      </c>
      <c r="E229" s="18" t="e">
        <f>VLOOKUP(D229,'점포코드 '!B:C,2,0)</f>
        <v>#N/A</v>
      </c>
      <c r="F229" s="19" t="e">
        <f>VLOOKUP('Raw data'!F229,제품명!C:D,2,0)</f>
        <v>#N/A</v>
      </c>
      <c r="G229" s="39" t="e">
        <f>VLOOKUP(F229,제품명!D:E,2,0)</f>
        <v>#N/A</v>
      </c>
      <c r="H229" s="6">
        <f>'Raw data'!K229</f>
        <v>0</v>
      </c>
      <c r="I229" s="13">
        <f>'Raw data'!H229</f>
        <v>0</v>
      </c>
      <c r="J229" s="4">
        <f t="shared" si="3"/>
        <v>0</v>
      </c>
    </row>
    <row r="230" spans="1:10" ht="12" customHeight="1">
      <c r="A230" s="6">
        <f>'Raw data'!O230</f>
        <v>0</v>
      </c>
      <c r="D230" s="7" t="e">
        <f>VLOOKUP('Raw data'!P230,'점포코드 '!A:B,2,0)</f>
        <v>#N/A</v>
      </c>
      <c r="E230" s="18" t="e">
        <f>VLOOKUP(D230,'점포코드 '!B:C,2,0)</f>
        <v>#N/A</v>
      </c>
      <c r="F230" s="19" t="e">
        <f>VLOOKUP('Raw data'!F230,제품명!C:D,2,0)</f>
        <v>#N/A</v>
      </c>
      <c r="G230" s="39" t="e">
        <f>VLOOKUP(F230,제품명!D:E,2,0)</f>
        <v>#N/A</v>
      </c>
      <c r="H230" s="6">
        <f>'Raw data'!K230</f>
        <v>0</v>
      </c>
      <c r="I230" s="13">
        <f>'Raw data'!H230</f>
        <v>0</v>
      </c>
      <c r="J230" s="4">
        <f t="shared" si="3"/>
        <v>0</v>
      </c>
    </row>
    <row r="231" spans="1:10" ht="12" customHeight="1">
      <c r="A231" s="6">
        <f>'Raw data'!O231</f>
        <v>0</v>
      </c>
      <c r="D231" s="7" t="e">
        <f>VLOOKUP('Raw data'!P231,'점포코드 '!A:B,2,0)</f>
        <v>#N/A</v>
      </c>
      <c r="E231" s="18" t="e">
        <f>VLOOKUP(D231,'점포코드 '!B:C,2,0)</f>
        <v>#N/A</v>
      </c>
      <c r="F231" s="19" t="e">
        <f>VLOOKUP('Raw data'!F231,제품명!C:D,2,0)</f>
        <v>#N/A</v>
      </c>
      <c r="G231" s="39" t="e">
        <f>VLOOKUP(F231,제품명!D:E,2,0)</f>
        <v>#N/A</v>
      </c>
      <c r="H231" s="6">
        <f>'Raw data'!K231</f>
        <v>0</v>
      </c>
      <c r="I231" s="13">
        <f>'Raw data'!H231</f>
        <v>0</v>
      </c>
      <c r="J231" s="4">
        <f t="shared" si="3"/>
        <v>0</v>
      </c>
    </row>
    <row r="232" spans="1:10" ht="12" customHeight="1">
      <c r="A232" s="6">
        <f>'Raw data'!O232</f>
        <v>0</v>
      </c>
      <c r="D232" s="7" t="e">
        <f>VLOOKUP('Raw data'!P232,'점포코드 '!A:B,2,0)</f>
        <v>#N/A</v>
      </c>
      <c r="E232" s="18" t="e">
        <f>VLOOKUP(D232,'점포코드 '!B:C,2,0)</f>
        <v>#N/A</v>
      </c>
      <c r="F232" s="19" t="e">
        <f>VLOOKUP('Raw data'!F232,제품명!C:D,2,0)</f>
        <v>#N/A</v>
      </c>
      <c r="G232" s="39" t="e">
        <f>VLOOKUP(F232,제품명!D:E,2,0)</f>
        <v>#N/A</v>
      </c>
      <c r="H232" s="6">
        <f>'Raw data'!K232</f>
        <v>0</v>
      </c>
      <c r="I232" s="13">
        <f>'Raw data'!H232</f>
        <v>0</v>
      </c>
      <c r="J232" s="4">
        <f t="shared" si="3"/>
        <v>0</v>
      </c>
    </row>
    <row r="233" spans="1:10" ht="12" customHeight="1">
      <c r="A233" s="6">
        <f>'Raw data'!O233</f>
        <v>0</v>
      </c>
      <c r="D233" s="7" t="e">
        <f>VLOOKUP('Raw data'!P233,'점포코드 '!A:B,2,0)</f>
        <v>#N/A</v>
      </c>
      <c r="E233" s="18" t="e">
        <f>VLOOKUP(D233,'점포코드 '!B:C,2,0)</f>
        <v>#N/A</v>
      </c>
      <c r="F233" s="19" t="e">
        <f>VLOOKUP('Raw data'!F233,제품명!C:D,2,0)</f>
        <v>#N/A</v>
      </c>
      <c r="G233" s="39" t="e">
        <f>VLOOKUP(F233,제품명!D:E,2,0)</f>
        <v>#N/A</v>
      </c>
      <c r="H233" s="6">
        <f>'Raw data'!K233</f>
        <v>0</v>
      </c>
      <c r="I233" s="13">
        <f>'Raw data'!H233</f>
        <v>0</v>
      </c>
      <c r="J233" s="4">
        <f t="shared" si="3"/>
        <v>0</v>
      </c>
    </row>
    <row r="234" spans="1:10" ht="12" customHeight="1">
      <c r="A234" s="6">
        <f>'Raw data'!O234</f>
        <v>0</v>
      </c>
      <c r="D234" s="7" t="e">
        <f>VLOOKUP('Raw data'!P234,'점포코드 '!A:B,2,0)</f>
        <v>#N/A</v>
      </c>
      <c r="E234" s="18" t="e">
        <f>VLOOKUP(D234,'점포코드 '!B:C,2,0)</f>
        <v>#N/A</v>
      </c>
      <c r="F234" s="19" t="e">
        <f>VLOOKUP('Raw data'!F234,제품명!C:D,2,0)</f>
        <v>#N/A</v>
      </c>
      <c r="G234" s="39" t="e">
        <f>VLOOKUP(F234,제품명!D:E,2,0)</f>
        <v>#N/A</v>
      </c>
      <c r="H234" s="6">
        <f>'Raw data'!K234</f>
        <v>0</v>
      </c>
      <c r="I234" s="13">
        <f>'Raw data'!H234</f>
        <v>0</v>
      </c>
      <c r="J234" s="4">
        <f t="shared" si="3"/>
        <v>0</v>
      </c>
    </row>
    <row r="235" spans="1:10" ht="12" customHeight="1">
      <c r="A235" s="6">
        <f>'Raw data'!O235</f>
        <v>0</v>
      </c>
      <c r="D235" s="7" t="e">
        <f>VLOOKUP('Raw data'!P235,'점포코드 '!A:B,2,0)</f>
        <v>#N/A</v>
      </c>
      <c r="E235" s="18" t="e">
        <f>VLOOKUP(D235,'점포코드 '!B:C,2,0)</f>
        <v>#N/A</v>
      </c>
      <c r="F235" s="19" t="e">
        <f>VLOOKUP('Raw data'!F235,제품명!C:D,2,0)</f>
        <v>#N/A</v>
      </c>
      <c r="G235" s="39" t="e">
        <f>VLOOKUP(F235,제품명!D:E,2,0)</f>
        <v>#N/A</v>
      </c>
      <c r="H235" s="6">
        <f>'Raw data'!K235</f>
        <v>0</v>
      </c>
      <c r="I235" s="13">
        <f>'Raw data'!H235</f>
        <v>0</v>
      </c>
      <c r="J235" s="4">
        <f t="shared" si="3"/>
        <v>0</v>
      </c>
    </row>
    <row r="236" spans="1:10" ht="12" customHeight="1">
      <c r="A236" s="6">
        <f>'Raw data'!O236</f>
        <v>0</v>
      </c>
      <c r="D236" s="7" t="e">
        <f>VLOOKUP('Raw data'!P236,'점포코드 '!A:B,2,0)</f>
        <v>#N/A</v>
      </c>
      <c r="E236" s="18" t="e">
        <f>VLOOKUP(D236,'점포코드 '!B:C,2,0)</f>
        <v>#N/A</v>
      </c>
      <c r="F236" s="19" t="e">
        <f>VLOOKUP('Raw data'!F236,제품명!C:D,2,0)</f>
        <v>#N/A</v>
      </c>
      <c r="G236" s="39" t="e">
        <f>VLOOKUP(F236,제품명!D:E,2,0)</f>
        <v>#N/A</v>
      </c>
      <c r="H236" s="6">
        <f>'Raw data'!K236</f>
        <v>0</v>
      </c>
      <c r="I236" s="13">
        <f>'Raw data'!H236</f>
        <v>0</v>
      </c>
      <c r="J236" s="4">
        <f t="shared" si="3"/>
        <v>0</v>
      </c>
    </row>
    <row r="237" spans="1:10" ht="12" customHeight="1">
      <c r="A237" s="6">
        <f>'Raw data'!O237</f>
        <v>0</v>
      </c>
      <c r="D237" s="7" t="e">
        <f>VLOOKUP('Raw data'!P237,'점포코드 '!A:B,2,0)</f>
        <v>#N/A</v>
      </c>
      <c r="E237" s="18" t="e">
        <f>VLOOKUP(D237,'점포코드 '!B:C,2,0)</f>
        <v>#N/A</v>
      </c>
      <c r="F237" s="19" t="e">
        <f>VLOOKUP('Raw data'!F237,제품명!C:D,2,0)</f>
        <v>#N/A</v>
      </c>
      <c r="G237" s="39" t="e">
        <f>VLOOKUP(F237,제품명!D:E,2,0)</f>
        <v>#N/A</v>
      </c>
      <c r="H237" s="6">
        <f>'Raw data'!K237</f>
        <v>0</v>
      </c>
      <c r="I237" s="13">
        <f>'Raw data'!H237</f>
        <v>0</v>
      </c>
      <c r="J237" s="4">
        <f t="shared" si="3"/>
        <v>0</v>
      </c>
    </row>
    <row r="238" spans="1:10" ht="12" customHeight="1">
      <c r="A238" s="6">
        <f>'Raw data'!O238</f>
        <v>0</v>
      </c>
      <c r="D238" s="7" t="e">
        <f>VLOOKUP('Raw data'!P238,'점포코드 '!A:B,2,0)</f>
        <v>#N/A</v>
      </c>
      <c r="E238" s="18" t="e">
        <f>VLOOKUP(D238,'점포코드 '!B:C,2,0)</f>
        <v>#N/A</v>
      </c>
      <c r="F238" s="19" t="e">
        <f>VLOOKUP('Raw data'!F238,제품명!C:D,2,0)</f>
        <v>#N/A</v>
      </c>
      <c r="G238" s="39" t="e">
        <f>VLOOKUP(F238,제품명!D:E,2,0)</f>
        <v>#N/A</v>
      </c>
      <c r="H238" s="6">
        <f>'Raw data'!K238</f>
        <v>0</v>
      </c>
      <c r="I238" s="13">
        <f>'Raw data'!H238</f>
        <v>0</v>
      </c>
      <c r="J238" s="4">
        <f t="shared" si="3"/>
        <v>0</v>
      </c>
    </row>
    <row r="239" spans="1:10" ht="12" customHeight="1">
      <c r="A239" s="6">
        <f>'Raw data'!O239</f>
        <v>0</v>
      </c>
      <c r="D239" s="7" t="e">
        <f>VLOOKUP('Raw data'!P239,'점포코드 '!A:B,2,0)</f>
        <v>#N/A</v>
      </c>
      <c r="E239" s="18" t="e">
        <f>VLOOKUP(D239,'점포코드 '!B:C,2,0)</f>
        <v>#N/A</v>
      </c>
      <c r="F239" s="19" t="e">
        <f>VLOOKUP('Raw data'!F239,제품명!C:D,2,0)</f>
        <v>#N/A</v>
      </c>
      <c r="G239" s="39" t="e">
        <f>VLOOKUP(F239,제품명!D:E,2,0)</f>
        <v>#N/A</v>
      </c>
      <c r="H239" s="6">
        <f>'Raw data'!K239</f>
        <v>0</v>
      </c>
      <c r="I239" s="13">
        <f>'Raw data'!H239</f>
        <v>0</v>
      </c>
      <c r="J239" s="4">
        <f t="shared" si="3"/>
        <v>0</v>
      </c>
    </row>
    <row r="240" spans="1:10" ht="12" customHeight="1">
      <c r="A240" s="6">
        <f>'Raw data'!O240</f>
        <v>0</v>
      </c>
      <c r="D240" s="7" t="e">
        <f>VLOOKUP('Raw data'!P240,'점포코드 '!A:B,2,0)</f>
        <v>#N/A</v>
      </c>
      <c r="E240" s="18" t="e">
        <f>VLOOKUP(D240,'점포코드 '!B:C,2,0)</f>
        <v>#N/A</v>
      </c>
      <c r="F240" s="19" t="e">
        <f>VLOOKUP('Raw data'!F240,제품명!C:D,2,0)</f>
        <v>#N/A</v>
      </c>
      <c r="G240" s="39" t="e">
        <f>VLOOKUP(F240,제품명!D:E,2,0)</f>
        <v>#N/A</v>
      </c>
      <c r="H240" s="6">
        <f>'Raw data'!K240</f>
        <v>0</v>
      </c>
      <c r="I240" s="13">
        <f>'Raw data'!H240</f>
        <v>0</v>
      </c>
      <c r="J240" s="4">
        <f t="shared" si="3"/>
        <v>0</v>
      </c>
    </row>
    <row r="241" spans="1:10" ht="12" customHeight="1">
      <c r="A241" s="6">
        <f>'Raw data'!O241</f>
        <v>0</v>
      </c>
      <c r="D241" s="7" t="e">
        <f>VLOOKUP('Raw data'!P241,'점포코드 '!A:B,2,0)</f>
        <v>#N/A</v>
      </c>
      <c r="E241" s="18" t="e">
        <f>VLOOKUP(D241,'점포코드 '!B:C,2,0)</f>
        <v>#N/A</v>
      </c>
      <c r="F241" s="19" t="e">
        <f>VLOOKUP('Raw data'!F241,제품명!C:D,2,0)</f>
        <v>#N/A</v>
      </c>
      <c r="G241" s="39" t="e">
        <f>VLOOKUP(F241,제품명!D:E,2,0)</f>
        <v>#N/A</v>
      </c>
      <c r="H241" s="6">
        <f>'Raw data'!K241</f>
        <v>0</v>
      </c>
      <c r="I241" s="13">
        <f>'Raw data'!H241</f>
        <v>0</v>
      </c>
      <c r="J241" s="4">
        <f t="shared" si="3"/>
        <v>0</v>
      </c>
    </row>
    <row r="242" spans="1:10" ht="12" customHeight="1">
      <c r="A242" s="6">
        <f>'Raw data'!O242</f>
        <v>0</v>
      </c>
      <c r="D242" s="7" t="e">
        <f>VLOOKUP('Raw data'!P242,'점포코드 '!A:B,2,0)</f>
        <v>#N/A</v>
      </c>
      <c r="E242" s="18" t="e">
        <f>VLOOKUP(D242,'점포코드 '!B:C,2,0)</f>
        <v>#N/A</v>
      </c>
      <c r="F242" s="19" t="e">
        <f>VLOOKUP('Raw data'!F242,제품명!C:D,2,0)</f>
        <v>#N/A</v>
      </c>
      <c r="G242" s="39" t="e">
        <f>VLOOKUP(F242,제품명!D:E,2,0)</f>
        <v>#N/A</v>
      </c>
      <c r="H242" s="6">
        <f>'Raw data'!K242</f>
        <v>0</v>
      </c>
      <c r="I242" s="13">
        <f>'Raw data'!H242</f>
        <v>0</v>
      </c>
      <c r="J242" s="4">
        <f t="shared" si="3"/>
        <v>0</v>
      </c>
    </row>
    <row r="243" spans="1:10" ht="12" customHeight="1">
      <c r="A243" s="6">
        <f>'Raw data'!O243</f>
        <v>0</v>
      </c>
      <c r="D243" s="7" t="e">
        <f>VLOOKUP('Raw data'!P243,'점포코드 '!A:B,2,0)</f>
        <v>#N/A</v>
      </c>
      <c r="E243" s="18" t="e">
        <f>VLOOKUP(D243,'점포코드 '!B:C,2,0)</f>
        <v>#N/A</v>
      </c>
      <c r="F243" s="19" t="e">
        <f>VLOOKUP('Raw data'!F243,제품명!C:D,2,0)</f>
        <v>#N/A</v>
      </c>
      <c r="G243" s="39" t="e">
        <f>VLOOKUP(F243,제품명!D:E,2,0)</f>
        <v>#N/A</v>
      </c>
      <c r="H243" s="6">
        <f>'Raw data'!K243</f>
        <v>0</v>
      </c>
      <c r="I243" s="13">
        <f>'Raw data'!H243</f>
        <v>0</v>
      </c>
      <c r="J243" s="4">
        <f t="shared" si="3"/>
        <v>0</v>
      </c>
    </row>
    <row r="244" spans="1:10" ht="12" customHeight="1">
      <c r="A244" s="6">
        <f>'Raw data'!O244</f>
        <v>0</v>
      </c>
      <c r="D244" s="7" t="e">
        <f>VLOOKUP('Raw data'!P244,'점포코드 '!A:B,2,0)</f>
        <v>#N/A</v>
      </c>
      <c r="E244" s="18" t="e">
        <f>VLOOKUP(D244,'점포코드 '!B:C,2,0)</f>
        <v>#N/A</v>
      </c>
      <c r="F244" s="19" t="e">
        <f>VLOOKUP('Raw data'!F244,제품명!C:D,2,0)</f>
        <v>#N/A</v>
      </c>
      <c r="G244" s="39" t="e">
        <f>VLOOKUP(F244,제품명!D:E,2,0)</f>
        <v>#N/A</v>
      </c>
      <c r="H244" s="6">
        <f>'Raw data'!K244</f>
        <v>0</v>
      </c>
      <c r="I244" s="13">
        <f>'Raw data'!H244</f>
        <v>0</v>
      </c>
      <c r="J244" s="4">
        <f t="shared" si="3"/>
        <v>0</v>
      </c>
    </row>
    <row r="245" spans="1:10" ht="12" customHeight="1">
      <c r="A245" s="6">
        <f>'Raw data'!O245</f>
        <v>0</v>
      </c>
      <c r="D245" s="7" t="e">
        <f>VLOOKUP('Raw data'!P245,'점포코드 '!A:B,2,0)</f>
        <v>#N/A</v>
      </c>
      <c r="E245" s="18" t="e">
        <f>VLOOKUP(D245,'점포코드 '!B:C,2,0)</f>
        <v>#N/A</v>
      </c>
      <c r="F245" s="19" t="e">
        <f>VLOOKUP('Raw data'!F245,제품명!C:D,2,0)</f>
        <v>#N/A</v>
      </c>
      <c r="G245" s="39" t="e">
        <f>VLOOKUP(F245,제품명!D:E,2,0)</f>
        <v>#N/A</v>
      </c>
      <c r="H245" s="6">
        <f>'Raw data'!K245</f>
        <v>0</v>
      </c>
      <c r="I245" s="13">
        <f>'Raw data'!H245</f>
        <v>0</v>
      </c>
      <c r="J245" s="4">
        <f t="shared" si="3"/>
        <v>0</v>
      </c>
    </row>
    <row r="246" spans="1:10" ht="12" customHeight="1">
      <c r="A246" s="6">
        <f>'Raw data'!O246</f>
        <v>0</v>
      </c>
      <c r="D246" s="7" t="e">
        <f>VLOOKUP('Raw data'!P246,'점포코드 '!A:B,2,0)</f>
        <v>#N/A</v>
      </c>
      <c r="E246" s="18" t="e">
        <f>VLOOKUP(D246,'점포코드 '!B:C,2,0)</f>
        <v>#N/A</v>
      </c>
      <c r="F246" s="19" t="e">
        <f>VLOOKUP('Raw data'!F246,제품명!C:D,2,0)</f>
        <v>#N/A</v>
      </c>
      <c r="G246" s="39" t="e">
        <f>VLOOKUP(F246,제품명!D:E,2,0)</f>
        <v>#N/A</v>
      </c>
      <c r="H246" s="6">
        <f>'Raw data'!K246</f>
        <v>0</v>
      </c>
      <c r="I246" s="13">
        <f>'Raw data'!H246</f>
        <v>0</v>
      </c>
      <c r="J246" s="4">
        <f t="shared" si="3"/>
        <v>0</v>
      </c>
    </row>
    <row r="247" spans="1:10" ht="12" customHeight="1">
      <c r="A247" s="6">
        <f>'Raw data'!O247</f>
        <v>0</v>
      </c>
      <c r="D247" s="7" t="e">
        <f>VLOOKUP('Raw data'!P247,'점포코드 '!A:B,2,0)</f>
        <v>#N/A</v>
      </c>
      <c r="E247" s="18" t="e">
        <f>VLOOKUP(D247,'점포코드 '!B:C,2,0)</f>
        <v>#N/A</v>
      </c>
      <c r="F247" s="19" t="e">
        <f>VLOOKUP('Raw data'!F247,제품명!C:D,2,0)</f>
        <v>#N/A</v>
      </c>
      <c r="G247" s="39" t="e">
        <f>VLOOKUP(F247,제품명!D:E,2,0)</f>
        <v>#N/A</v>
      </c>
      <c r="H247" s="6">
        <f>'Raw data'!K247</f>
        <v>0</v>
      </c>
      <c r="I247" s="13">
        <f>'Raw data'!H247</f>
        <v>0</v>
      </c>
      <c r="J247" s="4">
        <f t="shared" si="3"/>
        <v>0</v>
      </c>
    </row>
    <row r="248" spans="1:10" ht="12" customHeight="1">
      <c r="A248" s="6">
        <f>'Raw data'!O248</f>
        <v>0</v>
      </c>
      <c r="D248" s="7" t="e">
        <f>VLOOKUP('Raw data'!P248,'점포코드 '!A:B,2,0)</f>
        <v>#N/A</v>
      </c>
      <c r="E248" s="18" t="e">
        <f>VLOOKUP(D248,'점포코드 '!B:C,2,0)</f>
        <v>#N/A</v>
      </c>
      <c r="F248" s="19" t="e">
        <f>VLOOKUP('Raw data'!F248,제품명!C:D,2,0)</f>
        <v>#N/A</v>
      </c>
      <c r="G248" s="39" t="e">
        <f>VLOOKUP(F248,제품명!D:E,2,0)</f>
        <v>#N/A</v>
      </c>
      <c r="H248" s="6">
        <f>'Raw data'!K248</f>
        <v>0</v>
      </c>
      <c r="I248" s="13">
        <f>'Raw data'!H248</f>
        <v>0</v>
      </c>
      <c r="J248" s="4">
        <f t="shared" si="3"/>
        <v>0</v>
      </c>
    </row>
    <row r="249" spans="1:10" ht="12" customHeight="1">
      <c r="A249" s="6">
        <f>'Raw data'!O249</f>
        <v>0</v>
      </c>
      <c r="D249" s="7" t="e">
        <f>VLOOKUP('Raw data'!P249,'점포코드 '!A:B,2,0)</f>
        <v>#N/A</v>
      </c>
      <c r="E249" s="18" t="e">
        <f>VLOOKUP(D249,'점포코드 '!B:C,2,0)</f>
        <v>#N/A</v>
      </c>
      <c r="F249" s="19" t="e">
        <f>VLOOKUP('Raw data'!F249,제품명!C:D,2,0)</f>
        <v>#N/A</v>
      </c>
      <c r="G249" s="39" t="e">
        <f>VLOOKUP(F249,제품명!D:E,2,0)</f>
        <v>#N/A</v>
      </c>
      <c r="H249" s="6">
        <f>'Raw data'!K249</f>
        <v>0</v>
      </c>
      <c r="I249" s="13">
        <f>'Raw data'!H249</f>
        <v>0</v>
      </c>
      <c r="J249" s="4">
        <f t="shared" si="3"/>
        <v>0</v>
      </c>
    </row>
    <row r="250" spans="1:10" ht="12" customHeight="1">
      <c r="A250" s="6">
        <f>'Raw data'!O250</f>
        <v>0</v>
      </c>
      <c r="D250" s="7" t="e">
        <f>VLOOKUP('Raw data'!P250,'점포코드 '!A:B,2,0)</f>
        <v>#N/A</v>
      </c>
      <c r="E250" s="18" t="e">
        <f>VLOOKUP(D250,'점포코드 '!B:C,2,0)</f>
        <v>#N/A</v>
      </c>
      <c r="F250" s="19" t="e">
        <f>VLOOKUP('Raw data'!F250,제품명!C:D,2,0)</f>
        <v>#N/A</v>
      </c>
      <c r="G250" s="39" t="e">
        <f>VLOOKUP(F250,제품명!D:E,2,0)</f>
        <v>#N/A</v>
      </c>
      <c r="H250" s="6">
        <f>'Raw data'!K250</f>
        <v>0</v>
      </c>
      <c r="I250" s="13">
        <f>'Raw data'!H250</f>
        <v>0</v>
      </c>
      <c r="J250" s="4">
        <f t="shared" si="3"/>
        <v>0</v>
      </c>
    </row>
    <row r="251" spans="1:10" ht="12" customHeight="1">
      <c r="A251" s="6">
        <f>'Raw data'!O251</f>
        <v>0</v>
      </c>
      <c r="D251" s="7" t="e">
        <f>VLOOKUP('Raw data'!P251,'점포코드 '!A:B,2,0)</f>
        <v>#N/A</v>
      </c>
      <c r="E251" s="18" t="e">
        <f>VLOOKUP(D251,'점포코드 '!B:C,2,0)</f>
        <v>#N/A</v>
      </c>
      <c r="F251" s="19" t="e">
        <f>VLOOKUP('Raw data'!F251,제품명!C:D,2,0)</f>
        <v>#N/A</v>
      </c>
      <c r="G251" s="39" t="e">
        <f>VLOOKUP(F251,제품명!D:E,2,0)</f>
        <v>#N/A</v>
      </c>
      <c r="H251" s="6">
        <f>'Raw data'!K251</f>
        <v>0</v>
      </c>
      <c r="I251" s="13">
        <f>'Raw data'!H251</f>
        <v>0</v>
      </c>
      <c r="J251" s="4">
        <f t="shared" si="3"/>
        <v>0</v>
      </c>
    </row>
    <row r="252" spans="1:10" ht="12" customHeight="1">
      <c r="A252" s="6">
        <f>'Raw data'!O252</f>
        <v>0</v>
      </c>
      <c r="D252" s="7" t="e">
        <f>VLOOKUP('Raw data'!P252,'점포코드 '!A:B,2,0)</f>
        <v>#N/A</v>
      </c>
      <c r="E252" s="18" t="e">
        <f>VLOOKUP(D252,'점포코드 '!B:C,2,0)</f>
        <v>#N/A</v>
      </c>
      <c r="F252" s="19" t="e">
        <f>VLOOKUP('Raw data'!F252,제품명!C:D,2,0)</f>
        <v>#N/A</v>
      </c>
      <c r="G252" s="39" t="e">
        <f>VLOOKUP(F252,제품명!D:E,2,0)</f>
        <v>#N/A</v>
      </c>
      <c r="H252" s="6">
        <f>'Raw data'!K252</f>
        <v>0</v>
      </c>
      <c r="I252" s="13">
        <f>'Raw data'!H252</f>
        <v>0</v>
      </c>
      <c r="J252" s="4">
        <f t="shared" si="3"/>
        <v>0</v>
      </c>
    </row>
    <row r="253" spans="1:10" ht="12" customHeight="1">
      <c r="A253" s="6">
        <f>'Raw data'!O253</f>
        <v>0</v>
      </c>
      <c r="D253" s="7" t="e">
        <f>VLOOKUP('Raw data'!P253,'점포코드 '!A:B,2,0)</f>
        <v>#N/A</v>
      </c>
      <c r="E253" s="18" t="e">
        <f>VLOOKUP(D253,'점포코드 '!B:C,2,0)</f>
        <v>#N/A</v>
      </c>
      <c r="F253" s="19" t="e">
        <f>VLOOKUP('Raw data'!F253,제품명!C:D,2,0)</f>
        <v>#N/A</v>
      </c>
      <c r="G253" s="39" t="e">
        <f>VLOOKUP(F253,제품명!D:E,2,0)</f>
        <v>#N/A</v>
      </c>
      <c r="H253" s="6">
        <f>'Raw data'!K253</f>
        <v>0</v>
      </c>
      <c r="I253" s="13">
        <f>'Raw data'!H253</f>
        <v>0</v>
      </c>
      <c r="J253" s="4">
        <f t="shared" si="3"/>
        <v>0</v>
      </c>
    </row>
    <row r="254" spans="1:10" ht="12" customHeight="1">
      <c r="A254" s="6">
        <f>'Raw data'!O254</f>
        <v>0</v>
      </c>
      <c r="D254" s="7" t="e">
        <f>VLOOKUP('Raw data'!P254,'점포코드 '!A:B,2,0)</f>
        <v>#N/A</v>
      </c>
      <c r="E254" s="18" t="e">
        <f>VLOOKUP(D254,'점포코드 '!B:C,2,0)</f>
        <v>#N/A</v>
      </c>
      <c r="F254" s="19" t="e">
        <f>VLOOKUP('Raw data'!F254,제품명!C:D,2,0)</f>
        <v>#N/A</v>
      </c>
      <c r="G254" s="39" t="e">
        <f>VLOOKUP(F254,제품명!D:E,2,0)</f>
        <v>#N/A</v>
      </c>
      <c r="H254" s="6">
        <f>'Raw data'!K254</f>
        <v>0</v>
      </c>
      <c r="I254" s="13">
        <f>'Raw data'!H254</f>
        <v>0</v>
      </c>
      <c r="J254" s="4">
        <f t="shared" si="3"/>
        <v>0</v>
      </c>
    </row>
    <row r="255" spans="1:10" ht="12" customHeight="1">
      <c r="A255" s="6">
        <f>'Raw data'!O255</f>
        <v>0</v>
      </c>
      <c r="D255" s="7" t="e">
        <f>VLOOKUP('Raw data'!P255,'점포코드 '!A:B,2,0)</f>
        <v>#N/A</v>
      </c>
      <c r="E255" s="18" t="e">
        <f>VLOOKUP(D255,'점포코드 '!B:C,2,0)</f>
        <v>#N/A</v>
      </c>
      <c r="F255" s="19" t="e">
        <f>VLOOKUP('Raw data'!F255,제품명!C:D,2,0)</f>
        <v>#N/A</v>
      </c>
      <c r="G255" s="39" t="e">
        <f>VLOOKUP(F255,제품명!D:E,2,0)</f>
        <v>#N/A</v>
      </c>
      <c r="H255" s="6">
        <f>'Raw data'!K255</f>
        <v>0</v>
      </c>
      <c r="I255" s="13">
        <f>'Raw data'!H255</f>
        <v>0</v>
      </c>
      <c r="J255" s="4">
        <f t="shared" si="3"/>
        <v>0</v>
      </c>
    </row>
    <row r="256" spans="1:10" ht="12" customHeight="1">
      <c r="A256" s="6">
        <f>'Raw data'!O256</f>
        <v>0</v>
      </c>
      <c r="D256" s="7" t="e">
        <f>VLOOKUP('Raw data'!P256,'점포코드 '!A:B,2,0)</f>
        <v>#N/A</v>
      </c>
      <c r="E256" s="18" t="e">
        <f>VLOOKUP(D256,'점포코드 '!B:C,2,0)</f>
        <v>#N/A</v>
      </c>
      <c r="F256" s="19" t="e">
        <f>VLOOKUP('Raw data'!F256,제품명!C:D,2,0)</f>
        <v>#N/A</v>
      </c>
      <c r="G256" s="39" t="e">
        <f>VLOOKUP(F256,제품명!D:E,2,0)</f>
        <v>#N/A</v>
      </c>
      <c r="H256" s="6">
        <f>'Raw data'!K256</f>
        <v>0</v>
      </c>
      <c r="I256" s="13">
        <f>'Raw data'!H256</f>
        <v>0</v>
      </c>
      <c r="J256" s="4">
        <f t="shared" si="3"/>
        <v>0</v>
      </c>
    </row>
    <row r="257" spans="7:14" ht="12" customHeight="1">
      <c r="I257" s="13"/>
      <c r="J257" s="4"/>
    </row>
    <row r="258" spans="7:14" ht="12" customHeight="1">
      <c r="I258" s="13"/>
      <c r="J258" s="4"/>
    </row>
    <row r="259" spans="7:14" ht="12" customHeight="1">
      <c r="I259" s="13"/>
      <c r="J259" s="4"/>
    </row>
    <row r="260" spans="7:14" ht="12" customHeight="1">
      <c r="I260" s="13"/>
      <c r="J260" s="4"/>
    </row>
    <row r="261" spans="7:14" ht="12" customHeight="1">
      <c r="I261" s="13"/>
      <c r="J261" s="4"/>
    </row>
    <row r="262" spans="7:14" ht="12" customHeight="1">
      <c r="I262" s="13"/>
      <c r="J262" s="4"/>
    </row>
    <row r="263" spans="7:14" ht="12" customHeight="1">
      <c r="G263" s="47" t="s">
        <v>68</v>
      </c>
      <c r="I263" s="13"/>
      <c r="J263" s="4"/>
    </row>
    <row r="264" spans="7:14" ht="12" customHeight="1">
      <c r="G264" s="47" t="s">
        <v>69</v>
      </c>
      <c r="I264" s="13"/>
      <c r="J264" s="4"/>
    </row>
    <row r="265" spans="7:14" ht="12" customHeight="1">
      <c r="G265" s="47" t="s">
        <v>70</v>
      </c>
      <c r="I265" s="13"/>
      <c r="J265" s="4"/>
      <c r="N265" s="44"/>
    </row>
    <row r="266" spans="7:14" ht="12" customHeight="1">
      <c r="G266" s="47" t="s">
        <v>71</v>
      </c>
      <c r="N266" s="45" t="s">
        <v>63</v>
      </c>
    </row>
    <row r="267" spans="7:14" ht="12" customHeight="1">
      <c r="N267" s="46" t="s">
        <v>64</v>
      </c>
    </row>
    <row r="268" spans="7:14" ht="12" customHeight="1">
      <c r="N268" s="46" t="s">
        <v>65</v>
      </c>
    </row>
    <row r="269" spans="7:14" ht="12" customHeight="1">
      <c r="N269" s="46" t="s">
        <v>67</v>
      </c>
    </row>
  </sheetData>
  <autoFilter ref="A1:N256" xr:uid="{00000000-0001-0000-0100-000000000000}"/>
  <phoneticPr fontId="8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39FA-7572-4F6F-AE3F-6CD27E081B54}">
  <dimension ref="A1:I14"/>
  <sheetViews>
    <sheetView topLeftCell="A4" workbookViewId="0">
      <selection activeCell="A15" sqref="A15:XFD42"/>
    </sheetView>
  </sheetViews>
  <sheetFormatPr defaultRowHeight="14.4"/>
  <sheetData>
    <row r="1" spans="1:9">
      <c r="A1" t="s">
        <v>20</v>
      </c>
      <c r="B1" t="s">
        <v>72</v>
      </c>
      <c r="C1" t="s">
        <v>2</v>
      </c>
      <c r="D1" t="s">
        <v>73</v>
      </c>
      <c r="E1" t="s">
        <v>74</v>
      </c>
      <c r="F1" t="s">
        <v>83</v>
      </c>
      <c r="G1" t="s">
        <v>84</v>
      </c>
      <c r="H1" t="s">
        <v>29</v>
      </c>
      <c r="I1" t="s">
        <v>1</v>
      </c>
    </row>
    <row r="2" spans="1:9">
      <c r="A2">
        <v>81033036</v>
      </c>
      <c r="B2" t="s">
        <v>94</v>
      </c>
      <c r="C2" t="s">
        <v>96</v>
      </c>
      <c r="D2" t="s">
        <v>56</v>
      </c>
      <c r="E2">
        <v>144</v>
      </c>
      <c r="F2">
        <v>11655</v>
      </c>
      <c r="G2">
        <v>1678320</v>
      </c>
      <c r="I2" t="s">
        <v>101</v>
      </c>
    </row>
    <row r="3" spans="1:9">
      <c r="A3">
        <v>81033036</v>
      </c>
      <c r="B3" t="s">
        <v>94</v>
      </c>
      <c r="C3" t="s">
        <v>95</v>
      </c>
      <c r="D3" t="s">
        <v>58</v>
      </c>
      <c r="E3">
        <v>144</v>
      </c>
      <c r="F3">
        <v>12784</v>
      </c>
      <c r="G3">
        <v>1840896</v>
      </c>
      <c r="I3" t="s">
        <v>101</v>
      </c>
    </row>
    <row r="4" spans="1:9">
      <c r="A4">
        <v>81033036</v>
      </c>
      <c r="B4" t="s">
        <v>94</v>
      </c>
      <c r="C4" t="s">
        <v>96</v>
      </c>
      <c r="D4" t="s">
        <v>56</v>
      </c>
      <c r="E4">
        <v>144</v>
      </c>
      <c r="F4">
        <v>11655</v>
      </c>
      <c r="G4">
        <v>1678320</v>
      </c>
      <c r="I4" t="s">
        <v>105</v>
      </c>
    </row>
    <row r="5" spans="1:9">
      <c r="A5">
        <v>89011174</v>
      </c>
      <c r="B5" t="s">
        <v>89</v>
      </c>
      <c r="C5" t="s">
        <v>96</v>
      </c>
      <c r="D5" t="s">
        <v>56</v>
      </c>
      <c r="E5">
        <v>144</v>
      </c>
      <c r="F5">
        <v>11655</v>
      </c>
      <c r="G5">
        <v>1678320</v>
      </c>
      <c r="I5" t="s">
        <v>104</v>
      </c>
    </row>
    <row r="6" spans="1:9">
      <c r="A6">
        <v>89011174</v>
      </c>
      <c r="B6" t="s">
        <v>89</v>
      </c>
      <c r="C6" t="s">
        <v>95</v>
      </c>
      <c r="D6" t="s">
        <v>58</v>
      </c>
      <c r="E6">
        <v>144</v>
      </c>
      <c r="F6">
        <v>12784</v>
      </c>
      <c r="G6">
        <v>1840896</v>
      </c>
      <c r="I6" t="s">
        <v>104</v>
      </c>
    </row>
    <row r="7" spans="1:9">
      <c r="A7">
        <v>89011174</v>
      </c>
      <c r="B7" t="s">
        <v>89</v>
      </c>
      <c r="C7" t="s">
        <v>95</v>
      </c>
      <c r="D7" t="s">
        <v>58</v>
      </c>
      <c r="E7">
        <v>144</v>
      </c>
      <c r="F7">
        <v>12784</v>
      </c>
      <c r="G7">
        <v>1840896</v>
      </c>
      <c r="I7" t="s">
        <v>91</v>
      </c>
    </row>
    <row r="8" spans="1:9">
      <c r="A8">
        <v>81033036</v>
      </c>
      <c r="B8" t="s">
        <v>94</v>
      </c>
      <c r="C8" t="s">
        <v>95</v>
      </c>
      <c r="D8" t="s">
        <v>58</v>
      </c>
      <c r="E8">
        <v>144</v>
      </c>
      <c r="F8">
        <v>12784</v>
      </c>
      <c r="G8">
        <v>1840896</v>
      </c>
      <c r="I8" t="s">
        <v>98</v>
      </c>
    </row>
    <row r="9" spans="1:9">
      <c r="A9">
        <v>81033036</v>
      </c>
      <c r="B9" t="s">
        <v>94</v>
      </c>
      <c r="C9" t="s">
        <v>95</v>
      </c>
      <c r="D9" t="s">
        <v>58</v>
      </c>
      <c r="E9">
        <v>144</v>
      </c>
      <c r="F9">
        <v>12784</v>
      </c>
      <c r="G9">
        <v>1840896</v>
      </c>
      <c r="I9" t="s">
        <v>100</v>
      </c>
    </row>
    <row r="10" spans="1:9">
      <c r="A10">
        <v>81033036</v>
      </c>
      <c r="B10" t="s">
        <v>94</v>
      </c>
      <c r="C10" t="s">
        <v>95</v>
      </c>
      <c r="D10" t="s">
        <v>58</v>
      </c>
      <c r="E10">
        <v>144</v>
      </c>
      <c r="F10">
        <v>12784</v>
      </c>
      <c r="G10">
        <v>1840896</v>
      </c>
      <c r="I10" t="s">
        <v>102</v>
      </c>
    </row>
    <row r="11" spans="1:9">
      <c r="A11">
        <v>81033036</v>
      </c>
      <c r="B11" t="s">
        <v>94</v>
      </c>
      <c r="C11" t="s">
        <v>95</v>
      </c>
      <c r="D11" t="s">
        <v>58</v>
      </c>
      <c r="E11">
        <v>144</v>
      </c>
      <c r="F11">
        <v>12784</v>
      </c>
      <c r="G11">
        <v>1840896</v>
      </c>
      <c r="I11" t="s">
        <v>106</v>
      </c>
    </row>
    <row r="12" spans="1:9">
      <c r="A12">
        <v>89011174</v>
      </c>
      <c r="B12" t="s">
        <v>89</v>
      </c>
      <c r="C12" t="s">
        <v>95</v>
      </c>
      <c r="D12" t="s">
        <v>58</v>
      </c>
      <c r="E12">
        <v>144</v>
      </c>
      <c r="F12">
        <v>12784</v>
      </c>
      <c r="G12">
        <v>1840896</v>
      </c>
      <c r="I12" t="s">
        <v>99</v>
      </c>
    </row>
    <row r="13" spans="1:9">
      <c r="A13">
        <v>81033036</v>
      </c>
      <c r="B13" t="s">
        <v>94</v>
      </c>
      <c r="C13" t="s">
        <v>96</v>
      </c>
      <c r="D13" t="s">
        <v>56</v>
      </c>
      <c r="E13">
        <v>144</v>
      </c>
      <c r="F13">
        <v>11655</v>
      </c>
      <c r="G13">
        <v>1678320</v>
      </c>
      <c r="I13" t="s">
        <v>103</v>
      </c>
    </row>
    <row r="14" spans="1:9">
      <c r="A14">
        <v>81033036</v>
      </c>
      <c r="B14" t="s">
        <v>94</v>
      </c>
      <c r="C14" t="s">
        <v>95</v>
      </c>
      <c r="D14" t="s">
        <v>58</v>
      </c>
      <c r="E14">
        <v>144</v>
      </c>
      <c r="F14">
        <v>12784</v>
      </c>
      <c r="G14">
        <v>1840896</v>
      </c>
      <c r="I14" t="s">
        <v>103</v>
      </c>
    </row>
  </sheetData>
  <phoneticPr fontId="8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66B3-87D9-4A8B-BBD4-937E40056FDF}">
  <dimension ref="A3:H18"/>
  <sheetViews>
    <sheetView workbookViewId="0">
      <selection activeCell="H20" sqref="H1:H20"/>
    </sheetView>
  </sheetViews>
  <sheetFormatPr defaultRowHeight="14.4"/>
  <cols>
    <col min="1" max="1" width="16.69921875" customWidth="1"/>
    <col min="2" max="2" width="11.59765625" customWidth="1"/>
    <col min="3" max="3" width="20.69921875" customWidth="1"/>
    <col min="4" max="4" width="15.5" bestFit="1" customWidth="1"/>
    <col min="5" max="5" width="31.19921875" bestFit="1" customWidth="1"/>
    <col min="6" max="6" width="16.8984375" bestFit="1" customWidth="1"/>
  </cols>
  <sheetData>
    <row r="3" spans="1:8">
      <c r="A3" s="63" t="s">
        <v>20</v>
      </c>
      <c r="B3" s="63" t="s">
        <v>72</v>
      </c>
      <c r="C3" s="63" t="s">
        <v>1</v>
      </c>
      <c r="D3" s="63" t="s">
        <v>2</v>
      </c>
      <c r="E3" s="63" t="s">
        <v>73</v>
      </c>
      <c r="F3" t="s">
        <v>76</v>
      </c>
    </row>
    <row r="4" spans="1:8" ht="15.6">
      <c r="A4">
        <v>89011174</v>
      </c>
      <c r="B4" t="s">
        <v>89</v>
      </c>
      <c r="C4" t="s">
        <v>104</v>
      </c>
      <c r="D4" t="s">
        <v>96</v>
      </c>
      <c r="E4" t="s">
        <v>56</v>
      </c>
      <c r="F4" s="78">
        <v>144</v>
      </c>
      <c r="H4" s="79"/>
    </row>
    <row r="5" spans="1:8" ht="15.6">
      <c r="A5">
        <v>89011174</v>
      </c>
      <c r="B5" t="s">
        <v>89</v>
      </c>
      <c r="C5" t="s">
        <v>104</v>
      </c>
      <c r="D5" t="s">
        <v>95</v>
      </c>
      <c r="E5" t="s">
        <v>58</v>
      </c>
      <c r="F5" s="78">
        <v>144</v>
      </c>
      <c r="H5" s="79"/>
    </row>
    <row r="6" spans="1:8" ht="15.6">
      <c r="A6">
        <v>89011174</v>
      </c>
      <c r="B6" t="s">
        <v>89</v>
      </c>
      <c r="C6" t="s">
        <v>91</v>
      </c>
      <c r="D6" t="s">
        <v>95</v>
      </c>
      <c r="E6" t="s">
        <v>58</v>
      </c>
      <c r="F6" s="78">
        <v>144</v>
      </c>
      <c r="H6" s="79"/>
    </row>
    <row r="7" spans="1:8" ht="15.6">
      <c r="A7">
        <v>89011174</v>
      </c>
      <c r="B7" t="s">
        <v>89</v>
      </c>
      <c r="C7" t="s">
        <v>99</v>
      </c>
      <c r="D7" t="s">
        <v>95</v>
      </c>
      <c r="E7" t="s">
        <v>58</v>
      </c>
      <c r="F7" s="78">
        <v>144</v>
      </c>
      <c r="H7" s="79"/>
    </row>
    <row r="8" spans="1:8">
      <c r="A8" t="s">
        <v>92</v>
      </c>
      <c r="B8" t="s">
        <v>92</v>
      </c>
      <c r="C8" t="s">
        <v>92</v>
      </c>
      <c r="D8" t="s">
        <v>92</v>
      </c>
      <c r="E8" t="s">
        <v>92</v>
      </c>
      <c r="F8" s="78"/>
    </row>
    <row r="9" spans="1:8" ht="15.6">
      <c r="A9">
        <v>81033036</v>
      </c>
      <c r="B9" t="s">
        <v>94</v>
      </c>
      <c r="C9" t="s">
        <v>102</v>
      </c>
      <c r="D9" t="s">
        <v>95</v>
      </c>
      <c r="E9" t="s">
        <v>58</v>
      </c>
      <c r="F9" s="78">
        <v>144</v>
      </c>
      <c r="H9" s="79"/>
    </row>
    <row r="10" spans="1:8" ht="15.6">
      <c r="A10">
        <v>81033036</v>
      </c>
      <c r="B10" t="s">
        <v>94</v>
      </c>
      <c r="C10" t="s">
        <v>101</v>
      </c>
      <c r="D10" t="s">
        <v>96</v>
      </c>
      <c r="E10" t="s">
        <v>56</v>
      </c>
      <c r="F10" s="78">
        <v>144</v>
      </c>
      <c r="H10" s="79"/>
    </row>
    <row r="11" spans="1:8" ht="15.6">
      <c r="A11">
        <v>81033036</v>
      </c>
      <c r="B11" t="s">
        <v>94</v>
      </c>
      <c r="C11" t="s">
        <v>101</v>
      </c>
      <c r="D11" t="s">
        <v>95</v>
      </c>
      <c r="E11" t="s">
        <v>58</v>
      </c>
      <c r="F11" s="78">
        <v>144</v>
      </c>
      <c r="H11" s="79"/>
    </row>
    <row r="12" spans="1:8" ht="15.6">
      <c r="A12">
        <v>81033036</v>
      </c>
      <c r="B12" t="s">
        <v>94</v>
      </c>
      <c r="C12" t="s">
        <v>106</v>
      </c>
      <c r="D12" t="s">
        <v>95</v>
      </c>
      <c r="E12" t="s">
        <v>58</v>
      </c>
      <c r="F12" s="78">
        <v>144</v>
      </c>
      <c r="H12" s="79"/>
    </row>
    <row r="13" spans="1:8" ht="15.6">
      <c r="A13">
        <v>81033036</v>
      </c>
      <c r="B13" t="s">
        <v>94</v>
      </c>
      <c r="C13" t="s">
        <v>98</v>
      </c>
      <c r="D13" t="s">
        <v>95</v>
      </c>
      <c r="E13" t="s">
        <v>58</v>
      </c>
      <c r="F13" s="78">
        <v>144</v>
      </c>
      <c r="H13" s="79"/>
    </row>
    <row r="14" spans="1:8" ht="15.6">
      <c r="A14">
        <v>81033036</v>
      </c>
      <c r="B14" t="s">
        <v>94</v>
      </c>
      <c r="C14" t="s">
        <v>103</v>
      </c>
      <c r="D14" t="s">
        <v>96</v>
      </c>
      <c r="E14" t="s">
        <v>56</v>
      </c>
      <c r="F14" s="78">
        <v>144</v>
      </c>
      <c r="H14" s="79"/>
    </row>
    <row r="15" spans="1:8" ht="15.6">
      <c r="A15">
        <v>81033036</v>
      </c>
      <c r="B15" t="s">
        <v>94</v>
      </c>
      <c r="C15" t="s">
        <v>103</v>
      </c>
      <c r="D15" t="s">
        <v>95</v>
      </c>
      <c r="E15" t="s">
        <v>58</v>
      </c>
      <c r="F15" s="78">
        <v>144</v>
      </c>
      <c r="H15" s="79"/>
    </row>
    <row r="16" spans="1:8" ht="15.6">
      <c r="A16">
        <v>81033036</v>
      </c>
      <c r="B16" t="s">
        <v>94</v>
      </c>
      <c r="C16" t="s">
        <v>100</v>
      </c>
      <c r="D16" t="s">
        <v>95</v>
      </c>
      <c r="E16" t="s">
        <v>58</v>
      </c>
      <c r="F16" s="78">
        <v>144</v>
      </c>
      <c r="H16" s="79"/>
    </row>
    <row r="17" spans="1:8" ht="15.6">
      <c r="A17">
        <v>81033036</v>
      </c>
      <c r="B17" t="s">
        <v>94</v>
      </c>
      <c r="C17" t="s">
        <v>105</v>
      </c>
      <c r="D17" t="s">
        <v>96</v>
      </c>
      <c r="E17" t="s">
        <v>56</v>
      </c>
      <c r="F17" s="78">
        <v>144</v>
      </c>
      <c r="H17" s="79"/>
    </row>
    <row r="18" spans="1:8">
      <c r="A18" t="s">
        <v>75</v>
      </c>
      <c r="F18" s="78">
        <v>1872</v>
      </c>
    </row>
  </sheetData>
  <phoneticPr fontId="8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3"/>
  <dimension ref="A2:C5"/>
  <sheetViews>
    <sheetView zoomScale="115" zoomScaleNormal="115" workbookViewId="0">
      <pane ySplit="2" topLeftCell="A3" activePane="bottomLeft" state="frozen"/>
      <selection pane="bottomLeft" activeCell="A3" sqref="A3:C3"/>
    </sheetView>
  </sheetViews>
  <sheetFormatPr defaultColWidth="8.8984375" defaultRowHeight="13.2"/>
  <cols>
    <col min="1" max="1" width="11.69921875" style="1" customWidth="1"/>
    <col min="2" max="2" width="9.3984375" style="15" bestFit="1" customWidth="1"/>
    <col min="3" max="4" width="10.69921875" style="1" customWidth="1"/>
    <col min="5" max="16384" width="8.8984375" style="1"/>
  </cols>
  <sheetData>
    <row r="2" spans="1:3" ht="15.6">
      <c r="A2" s="20" t="s">
        <v>15</v>
      </c>
      <c r="B2" s="20" t="s">
        <v>14</v>
      </c>
    </row>
    <row r="3" spans="1:3" ht="15.6">
      <c r="A3" s="21">
        <v>9150</v>
      </c>
      <c r="B3" s="22">
        <v>81033036</v>
      </c>
      <c r="C3" s="23" t="s">
        <v>93</v>
      </c>
    </row>
    <row r="4" spans="1:3" s="67" customFormat="1" ht="15.6">
      <c r="A4" s="64">
        <v>9102</v>
      </c>
      <c r="B4" s="65">
        <v>89011174</v>
      </c>
      <c r="C4" s="66" t="s">
        <v>17</v>
      </c>
    </row>
    <row r="5" spans="1:3" ht="15.6">
      <c r="A5" s="21">
        <v>9120</v>
      </c>
      <c r="B5" s="22">
        <v>81011012</v>
      </c>
      <c r="C5" s="23" t="s">
        <v>16</v>
      </c>
    </row>
  </sheetData>
  <autoFilter ref="A2:C2" xr:uid="{00000000-0009-0000-0000-000002000000}"/>
  <phoneticPr fontId="86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4"/>
  <dimension ref="A1:K138"/>
  <sheetViews>
    <sheetView zoomScale="115" zoomScaleNormal="115" workbookViewId="0">
      <pane ySplit="1" topLeftCell="A2" activePane="bottomLeft" state="frozen"/>
      <selection pane="bottomLeft" activeCell="D14" sqref="B14:D14"/>
    </sheetView>
  </sheetViews>
  <sheetFormatPr defaultColWidth="8.8984375" defaultRowHeight="12" customHeight="1"/>
  <cols>
    <col min="1" max="1" width="6.69921875" style="30" customWidth="1"/>
    <col min="2" max="2" width="36" style="31" bestFit="1" customWidth="1"/>
    <col min="3" max="3" width="15.69921875" style="32" customWidth="1"/>
    <col min="4" max="4" width="15.69921875" style="31" bestFit="1" customWidth="1"/>
    <col min="5" max="5" width="32.69921875" style="31" customWidth="1"/>
    <col min="6" max="6" width="9.296875" style="14" customWidth="1"/>
    <col min="7" max="7" width="6.59765625" style="30" customWidth="1"/>
    <col min="8" max="8" width="26.296875" style="33" bestFit="1" customWidth="1"/>
    <col min="9" max="9" width="12.09765625" style="34" customWidth="1"/>
    <col min="10" max="10" width="12.19921875" style="34" customWidth="1"/>
    <col min="11" max="11" width="12.09765625" style="34" customWidth="1"/>
    <col min="12" max="16384" width="8.8984375" style="30"/>
  </cols>
  <sheetData>
    <row r="1" spans="1:11" s="29" customFormat="1" ht="12" customHeight="1">
      <c r="A1" s="24" t="s">
        <v>23</v>
      </c>
      <c r="B1" s="24" t="s">
        <v>18</v>
      </c>
      <c r="C1" s="25" t="s">
        <v>37</v>
      </c>
      <c r="D1" s="24" t="s">
        <v>33</v>
      </c>
      <c r="E1" s="24" t="s">
        <v>35</v>
      </c>
      <c r="F1" s="26" t="s">
        <v>32</v>
      </c>
      <c r="G1" s="26" t="s">
        <v>24</v>
      </c>
      <c r="H1" s="27" t="s">
        <v>36</v>
      </c>
      <c r="I1" s="28"/>
      <c r="J1" s="28"/>
      <c r="K1" s="28"/>
    </row>
    <row r="2" spans="1:11" ht="12" customHeight="1">
      <c r="B2" s="31" t="s">
        <v>38</v>
      </c>
      <c r="C2" s="32">
        <v>8809020340941</v>
      </c>
      <c r="D2" s="31" t="s">
        <v>40</v>
      </c>
      <c r="E2" s="31" t="s">
        <v>38</v>
      </c>
      <c r="F2" s="31" t="s">
        <v>40</v>
      </c>
    </row>
    <row r="3" spans="1:11" ht="12" customHeight="1">
      <c r="B3" s="31" t="s">
        <v>39</v>
      </c>
      <c r="C3" s="32">
        <v>8809020340965</v>
      </c>
      <c r="D3" s="31" t="s">
        <v>41</v>
      </c>
      <c r="E3" s="31" t="s">
        <v>39</v>
      </c>
      <c r="F3" s="31" t="s">
        <v>41</v>
      </c>
    </row>
    <row r="4" spans="1:11" ht="12" customHeight="1">
      <c r="B4" s="31" t="s">
        <v>46</v>
      </c>
      <c r="C4" s="32">
        <v>8809020341245</v>
      </c>
      <c r="D4" s="31" t="s">
        <v>45</v>
      </c>
      <c r="E4" s="31" t="s">
        <v>46</v>
      </c>
      <c r="F4" s="14" t="s">
        <v>45</v>
      </c>
    </row>
    <row r="5" spans="1:11" ht="12" customHeight="1">
      <c r="B5" s="31" t="s">
        <v>47</v>
      </c>
      <c r="C5" s="32">
        <v>8809020341733</v>
      </c>
      <c r="D5" s="31" t="s">
        <v>48</v>
      </c>
      <c r="E5" s="31" t="s">
        <v>49</v>
      </c>
      <c r="F5" s="31" t="s">
        <v>48</v>
      </c>
    </row>
    <row r="6" spans="1:11" ht="12" customHeight="1">
      <c r="B6" s="31" t="s">
        <v>50</v>
      </c>
      <c r="C6" s="40">
        <v>8809020341238</v>
      </c>
      <c r="D6" s="31" t="s">
        <v>51</v>
      </c>
      <c r="E6" s="31" t="s">
        <v>52</v>
      </c>
      <c r="F6" s="31" t="s">
        <v>51</v>
      </c>
    </row>
    <row r="7" spans="1:11" ht="12" customHeight="1">
      <c r="B7" s="31" t="s">
        <v>53</v>
      </c>
      <c r="C7" s="32">
        <v>8809020341870</v>
      </c>
      <c r="D7" s="31" t="s">
        <v>54</v>
      </c>
      <c r="E7" s="14" t="s">
        <v>55</v>
      </c>
    </row>
    <row r="8" spans="1:11" ht="12" customHeight="1">
      <c r="B8" s="31" t="s">
        <v>56</v>
      </c>
      <c r="C8" s="32">
        <v>8809020342297</v>
      </c>
      <c r="D8" s="31" t="s">
        <v>57</v>
      </c>
      <c r="E8" s="31" t="s">
        <v>56</v>
      </c>
    </row>
    <row r="9" spans="1:11" ht="12" customHeight="1">
      <c r="B9" s="31" t="s">
        <v>58</v>
      </c>
      <c r="C9" s="32">
        <v>8809020342303</v>
      </c>
      <c r="D9" s="31" t="s">
        <v>59</v>
      </c>
      <c r="E9" s="31" t="s">
        <v>58</v>
      </c>
    </row>
    <row r="10" spans="1:11" ht="12" customHeight="1">
      <c r="B10" s="41" t="s">
        <v>60</v>
      </c>
      <c r="C10" s="42">
        <v>8809020343195</v>
      </c>
      <c r="D10" s="31" t="s">
        <v>61</v>
      </c>
      <c r="E10" s="41" t="s">
        <v>60</v>
      </c>
      <c r="G10" s="30" t="s">
        <v>62</v>
      </c>
    </row>
    <row r="11" spans="1:11" ht="12" customHeight="1">
      <c r="B11" s="31" t="s">
        <v>77</v>
      </c>
      <c r="C11" s="32">
        <v>8809020343515</v>
      </c>
      <c r="D11" s="31" t="s">
        <v>78</v>
      </c>
      <c r="E11" s="31" t="s">
        <v>77</v>
      </c>
      <c r="F11" s="31" t="s">
        <v>78</v>
      </c>
    </row>
    <row r="12" spans="1:11" ht="12" customHeight="1">
      <c r="B12" s="31" t="s">
        <v>79</v>
      </c>
      <c r="C12" s="32">
        <v>8809020343591</v>
      </c>
      <c r="D12" s="31" t="s">
        <v>80</v>
      </c>
      <c r="E12" s="31" t="s">
        <v>81</v>
      </c>
      <c r="F12" s="31" t="s">
        <v>80</v>
      </c>
    </row>
    <row r="13" spans="1:11" ht="12" customHeight="1">
      <c r="B13" s="31" t="s">
        <v>58</v>
      </c>
      <c r="C13" s="32">
        <v>8809020344901</v>
      </c>
      <c r="D13" s="31" t="s">
        <v>95</v>
      </c>
      <c r="E13" s="31" t="s">
        <v>58</v>
      </c>
    </row>
    <row r="14" spans="1:11" ht="12" customHeight="1">
      <c r="B14" s="31" t="s">
        <v>97</v>
      </c>
      <c r="C14" s="32">
        <v>8809020344895</v>
      </c>
      <c r="D14" s="31" t="s">
        <v>96</v>
      </c>
      <c r="E14" s="31" t="s">
        <v>97</v>
      </c>
    </row>
    <row r="17" spans="8:8" ht="12" customHeight="1">
      <c r="H17" s="35"/>
    </row>
    <row r="18" spans="8:8" ht="12" customHeight="1">
      <c r="H18" s="35"/>
    </row>
    <row r="19" spans="8:8" ht="12" customHeight="1">
      <c r="H19" s="35"/>
    </row>
    <row r="20" spans="8:8" ht="12" customHeight="1">
      <c r="H20" s="35"/>
    </row>
    <row r="21" spans="8:8" ht="12" customHeight="1">
      <c r="H21" s="35"/>
    </row>
    <row r="22" spans="8:8" ht="12" customHeight="1">
      <c r="H22" s="35"/>
    </row>
    <row r="23" spans="8:8" ht="12" customHeight="1">
      <c r="H23" s="35"/>
    </row>
    <row r="24" spans="8:8" ht="12" customHeight="1">
      <c r="H24" s="35"/>
    </row>
    <row r="25" spans="8:8" ht="12" customHeight="1">
      <c r="H25" s="35"/>
    </row>
    <row r="26" spans="8:8" ht="12" customHeight="1">
      <c r="H26" s="35"/>
    </row>
    <row r="27" spans="8:8" ht="12" customHeight="1">
      <c r="H27" s="35"/>
    </row>
    <row r="28" spans="8:8" ht="12" customHeight="1">
      <c r="H28" s="35"/>
    </row>
    <row r="29" spans="8:8" ht="12" customHeight="1">
      <c r="H29" s="35"/>
    </row>
    <row r="30" spans="8:8" ht="12" customHeight="1">
      <c r="H30" s="35"/>
    </row>
    <row r="31" spans="8:8" ht="12" customHeight="1">
      <c r="H31" s="35"/>
    </row>
    <row r="32" spans="8:8" ht="12" customHeight="1">
      <c r="H32" s="35"/>
    </row>
    <row r="33" spans="8:8" ht="12" customHeight="1">
      <c r="H33" s="35"/>
    </row>
    <row r="137" spans="8:11" ht="12" customHeight="1">
      <c r="H137" s="36"/>
      <c r="I137" s="37"/>
      <c r="J137" s="37"/>
      <c r="K137" s="37"/>
    </row>
    <row r="138" spans="8:11" ht="12" customHeight="1">
      <c r="H138" s="36"/>
      <c r="I138" s="37"/>
      <c r="J138" s="37"/>
      <c r="K138" s="37"/>
    </row>
  </sheetData>
  <autoFilter ref="A1:G1" xr:uid="{00000000-0009-0000-0000-000003000000}">
    <sortState xmlns:xlrd2="http://schemas.microsoft.com/office/spreadsheetml/2017/richdata2" ref="A2:H49">
      <sortCondition descending="1" ref="A1:A49"/>
    </sortState>
  </autoFilter>
  <sortState xmlns:xlrd2="http://schemas.microsoft.com/office/spreadsheetml/2017/richdata2" ref="A2:L61">
    <sortCondition ref="A2:A61"/>
  </sortState>
  <phoneticPr fontId="86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Raw data</vt:lpstr>
      <vt:lpstr>Summary(수주업로드용)</vt:lpstr>
      <vt:lpstr>Sheet1</vt:lpstr>
      <vt:lpstr>Sheet2</vt:lpstr>
      <vt:lpstr>점포코드 </vt:lpstr>
      <vt:lpstr>제품명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Shin JY</cp:lastModifiedBy>
  <cp:lastPrinted>2021-03-24T00:51:50Z</cp:lastPrinted>
  <dcterms:created xsi:type="dcterms:W3CDTF">2011-07-07T08:52:53Z</dcterms:created>
  <dcterms:modified xsi:type="dcterms:W3CDTF">2026-03-26T04:43:09Z</dcterms:modified>
</cp:coreProperties>
</file>